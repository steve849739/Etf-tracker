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510050</t>
        </is>
      </c>
      <c r="C58" s="3" t="inlineStr">
        <is>
          <t>上证50华夏</t>
        </is>
      </c>
      <c r="D58" s="23" t="n">
        <v>46293</v>
      </c>
      <c r="E58" s="3" t="n">
        <v>736356.6800000001</v>
      </c>
      <c r="F58" s="3">
        <f>E58-E57</f>
        <v/>
      </c>
      <c r="G58" s="3">
        <f>F58/E57</f>
        <v/>
      </c>
      <c r="H58" s="3" t="n">
        <v>5666466.68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510050</t>
        </is>
      </c>
      <c r="C59" s="3" t="inlineStr">
        <is>
          <t>上证50华夏</t>
        </is>
      </c>
      <c r="D59" s="23" t="n">
        <v>46294</v>
      </c>
      <c r="E59" s="3" t="n">
        <v>724836.6800000001</v>
      </c>
      <c r="F59" s="3">
        <f>E59-E58</f>
        <v/>
      </c>
      <c r="G59" s="3">
        <f>F59/E58</f>
        <v/>
      </c>
      <c r="H59" s="3" t="n">
        <v>5666466.68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510050</t>
        </is>
      </c>
      <c r="C60" s="3" t="inlineStr">
        <is>
          <t>上证50华夏</t>
        </is>
      </c>
      <c r="D60" s="23" t="n">
        <v>46295</v>
      </c>
      <c r="E60" s="3" t="n">
        <v>693876.6800000001</v>
      </c>
      <c r="F60" s="3">
        <f>E60-E59</f>
        <v/>
      </c>
      <c r="G60" s="3">
        <f>F60/E59</f>
        <v/>
      </c>
      <c r="H60" s="3" t="n">
        <v>5666466.68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510050</t>
        </is>
      </c>
      <c r="C61" s="3" t="inlineStr">
        <is>
          <t>上证50华夏</t>
        </is>
      </c>
      <c r="D61" s="23" t="n">
        <v>46303</v>
      </c>
      <c r="E61" s="3" t="n">
        <v>693516.6800000001</v>
      </c>
      <c r="F61" s="3">
        <f>E61-E60</f>
        <v/>
      </c>
      <c r="G61" s="3">
        <f>F61/E60</f>
        <v/>
      </c>
      <c r="H61" s="3" t="n">
        <v>5666466.68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510050</t>
        </is>
      </c>
      <c r="C62" s="3" t="inlineStr">
        <is>
          <t>上证50华夏</t>
        </is>
      </c>
      <c r="D62" s="23" t="n">
        <v>46304</v>
      </c>
      <c r="E62" s="3" t="n">
        <v>712236.6800000001</v>
      </c>
      <c r="F62" s="3">
        <f>E62-E61</f>
        <v/>
      </c>
      <c r="G62" s="3">
        <f>F62/E61</f>
        <v/>
      </c>
      <c r="H62" s="3" t="n">
        <v>5666466.68</v>
      </c>
      <c r="I62" s="3">
        <f>F62/H62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8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159919</t>
        </is>
      </c>
      <c r="C64" s="3" t="inlineStr">
        <is>
          <t>沪深300ETF嘉实</t>
        </is>
      </c>
      <c r="D64" s="23" t="n">
        <v>46293</v>
      </c>
      <c r="E64" s="3" t="n">
        <v>659901.66</v>
      </c>
      <c r="F64" s="3">
        <f>E64-E63</f>
        <v/>
      </c>
      <c r="G64" s="3">
        <f>F64/E63</f>
        <v/>
      </c>
      <c r="H64" s="3" t="n">
        <v>4081881.66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159919</t>
        </is>
      </c>
      <c r="C65" s="3" t="inlineStr">
        <is>
          <t>沪深300ETF嘉实</t>
        </is>
      </c>
      <c r="D65" s="23" t="n">
        <v>46294</v>
      </c>
      <c r="E65" s="3" t="n">
        <v>661881.66</v>
      </c>
      <c r="F65" s="3">
        <f>E65-E64</f>
        <v/>
      </c>
      <c r="G65" s="3">
        <f>F65/E64</f>
        <v/>
      </c>
      <c r="H65" s="3" t="n">
        <v>4081881.66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159919</t>
        </is>
      </c>
      <c r="C66" s="3" t="inlineStr">
        <is>
          <t>沪深300ETF嘉实</t>
        </is>
      </c>
      <c r="D66" s="23" t="n">
        <v>46295</v>
      </c>
      <c r="E66" s="3" t="n">
        <v>686631.66</v>
      </c>
      <c r="F66" s="3">
        <f>E66-E65</f>
        <v/>
      </c>
      <c r="G66" s="3">
        <f>F66/E65</f>
        <v/>
      </c>
      <c r="H66" s="3" t="n">
        <v>4081881.66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159919</t>
        </is>
      </c>
      <c r="C67" s="3" t="inlineStr">
        <is>
          <t>沪深300ETF嘉实</t>
        </is>
      </c>
      <c r="D67" s="23" t="n">
        <v>46303</v>
      </c>
      <c r="E67" s="3" t="n">
        <v>687891.66</v>
      </c>
      <c r="F67" s="3">
        <f>E67-E66</f>
        <v/>
      </c>
      <c r="G67" s="3">
        <f>F67/E66</f>
        <v/>
      </c>
      <c r="H67" s="3" t="n">
        <v>4081881.66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159919</t>
        </is>
      </c>
      <c r="C68" s="3" t="inlineStr">
        <is>
          <t>沪深300ETF嘉实</t>
        </is>
      </c>
      <c r="D68" s="23" t="n">
        <v>46304</v>
      </c>
      <c r="E68" s="3" t="n">
        <v>685641.66</v>
      </c>
      <c r="F68" s="3">
        <f>E68-E67</f>
        <v/>
      </c>
      <c r="G68" s="3">
        <f>F68/E67</f>
        <v/>
      </c>
      <c r="H68" s="3" t="n">
        <v>4081881.66</v>
      </c>
      <c r="I68" s="3">
        <f>F68/H68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2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510300</t>
        </is>
      </c>
      <c r="C58" s="3" t="inlineStr">
        <is>
          <t>沪深300etf华泰柏瑞</t>
        </is>
      </c>
      <c r="D58" s="23" t="n">
        <v>46293</v>
      </c>
      <c r="E58" s="3" t="n">
        <v>2417808.77</v>
      </c>
      <c r="F58" s="3">
        <f>E58-E57</f>
        <v/>
      </c>
      <c r="G58" s="3">
        <f>F58/E57</f>
        <v/>
      </c>
      <c r="H58" s="3" t="n">
        <v>8882958.77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510300</t>
        </is>
      </c>
      <c r="C59" s="3" t="inlineStr">
        <is>
          <t>沪深300etf华泰柏瑞</t>
        </is>
      </c>
      <c r="D59" s="23" t="n">
        <v>46294</v>
      </c>
      <c r="E59" s="3" t="n">
        <v>2416458.77</v>
      </c>
      <c r="F59" s="3">
        <f>E59-E58</f>
        <v/>
      </c>
      <c r="G59" s="3">
        <f>F59/E58</f>
        <v/>
      </c>
      <c r="H59" s="3" t="n">
        <v>8882958.77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510300</t>
        </is>
      </c>
      <c r="C60" s="3" t="inlineStr">
        <is>
          <t>沪深300etf华泰柏瑞</t>
        </is>
      </c>
      <c r="D60" s="23" t="n">
        <v>46295</v>
      </c>
      <c r="E60" s="3" t="n">
        <v>2411958.77</v>
      </c>
      <c r="F60" s="3">
        <f>E60-E59</f>
        <v/>
      </c>
      <c r="G60" s="3">
        <f>F60/E59</f>
        <v/>
      </c>
      <c r="H60" s="3" t="n">
        <v>8882958.77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510300</t>
        </is>
      </c>
      <c r="C61" s="3" t="inlineStr">
        <is>
          <t>沪深300etf华泰柏瑞</t>
        </is>
      </c>
      <c r="D61" s="23" t="n">
        <v>46303</v>
      </c>
      <c r="E61" s="3" t="n">
        <v>2406378.77</v>
      </c>
      <c r="F61" s="3">
        <f>E61-E60</f>
        <v/>
      </c>
      <c r="G61" s="3">
        <f>F61/E60</f>
        <v/>
      </c>
      <c r="H61" s="3" t="n">
        <v>8882958.77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510300</t>
        </is>
      </c>
      <c r="C62" s="3" t="inlineStr">
        <is>
          <t>沪深300etf华泰柏瑞</t>
        </is>
      </c>
      <c r="D62" s="23" t="n">
        <v>46304</v>
      </c>
      <c r="E62" s="3" t="n">
        <v>2439228.77</v>
      </c>
      <c r="F62" s="3">
        <f>E62-E61</f>
        <v/>
      </c>
      <c r="G62" s="3">
        <f>F62/E61</f>
        <v/>
      </c>
      <c r="H62" s="3" t="n">
        <v>8882958.77</v>
      </c>
      <c r="I62" s="3">
        <f>F62/H62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反转增持</t>
        </is>
      </c>
      <c r="I2" s="13">
        <f>SUM(INDEX('510050'!$I:$I,COUNTA('510050'!$E:$E)-1+1):INDEX('510050'!$I:$I,COUNTA('510050'!$E:$E)))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反转增持</t>
        </is>
      </c>
      <c r="I3" s="13">
        <f>SUM(INDEX('510300'!$I:$I,COUNTA('510300'!$E:$E)-1+1):INDEX('510300'!$I:$I,COUNTA('510300'!$E:$E)))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反转减持</t>
        </is>
      </c>
      <c r="I4" s="13">
        <f>SUM(INDEX('159919'!$I:$I,COUNTA('159919'!$E:$E)-1+1):INDEX('159919'!$I:$I,COUNTA('159919'!$E:$E)))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连续2日增持</t>
        </is>
      </c>
      <c r="I5" s="13">
        <f>SUM(INDEX('159915'!$I:$I,COUNTA('159915'!$E:$E)-2+1):INDEX('159915'!$I:$I,COUNTA('159915'!$E:$E)))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8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159915</t>
        </is>
      </c>
      <c r="C64" s="3" t="inlineStr">
        <is>
          <t>易方达创业板ETF</t>
        </is>
      </c>
      <c r="D64" s="23" t="n">
        <v>46293</v>
      </c>
      <c r="E64" s="3" t="n">
        <v>2086445.49</v>
      </c>
      <c r="F64" s="3">
        <f>E64-E63</f>
        <v/>
      </c>
      <c r="G64" s="3">
        <f>F64/E63</f>
        <v/>
      </c>
      <c r="H64" s="3" t="n">
        <v>3150245.49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159915</t>
        </is>
      </c>
      <c r="C65" s="3" t="inlineStr">
        <is>
          <t>易方达创业板ETF</t>
        </is>
      </c>
      <c r="D65" s="23" t="n">
        <v>46294</v>
      </c>
      <c r="E65" s="3" t="n">
        <v>2073045.49</v>
      </c>
      <c r="F65" s="3">
        <f>E65-E64</f>
        <v/>
      </c>
      <c r="G65" s="3">
        <f>F65/E64</f>
        <v/>
      </c>
      <c r="H65" s="3" t="n">
        <v>3150245.49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159915</t>
        </is>
      </c>
      <c r="C66" s="3" t="inlineStr">
        <is>
          <t>易方达创业板ETF</t>
        </is>
      </c>
      <c r="D66" s="23" t="n">
        <v>46295</v>
      </c>
      <c r="E66" s="3" t="n">
        <v>2060945.49</v>
      </c>
      <c r="F66" s="3">
        <f>E66-E65</f>
        <v/>
      </c>
      <c r="G66" s="3">
        <f>F66/E65</f>
        <v/>
      </c>
      <c r="H66" s="3" t="n">
        <v>3150245.49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159915</t>
        </is>
      </c>
      <c r="C67" s="3" t="inlineStr">
        <is>
          <t>易方达创业板ETF</t>
        </is>
      </c>
      <c r="D67" s="23" t="n">
        <v>46303</v>
      </c>
      <c r="E67" s="3" t="n">
        <v>2130845.49</v>
      </c>
      <c r="F67" s="3">
        <f>E67-E66</f>
        <v/>
      </c>
      <c r="G67" s="3">
        <f>F67/E66</f>
        <v/>
      </c>
      <c r="H67" s="3" t="n">
        <v>3150245.49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159915</t>
        </is>
      </c>
      <c r="C68" s="3" t="inlineStr">
        <is>
          <t>易方达创业板ETF</t>
        </is>
      </c>
      <c r="D68" s="23" t="n">
        <v>46304</v>
      </c>
      <c r="E68" s="3" t="n">
        <v>2202245.49</v>
      </c>
      <c r="F68" s="3">
        <f>E68-E67</f>
        <v/>
      </c>
      <c r="G68" s="3">
        <f>F68/E67</f>
        <v/>
      </c>
      <c r="H68" s="3" t="n">
        <v>3150245.49</v>
      </c>
      <c r="I68" s="3">
        <f>F68/H68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2026-10-12T07:43:29Z</dcterms:modified>
</cp:coreProperties>
</file>