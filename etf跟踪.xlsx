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510050</t>
        </is>
      </c>
      <c r="C58" s="3" t="inlineStr">
        <is>
          <t>上证50华夏</t>
        </is>
      </c>
      <c r="D58" s="23" t="n">
        <v>46293</v>
      </c>
      <c r="E58" s="3" t="n">
        <v>736356.6800000001</v>
      </c>
      <c r="F58" s="3">
        <f>E58-E57</f>
        <v/>
      </c>
      <c r="G58" s="3">
        <f>F58/E57</f>
        <v/>
      </c>
      <c r="H58" s="3" t="n">
        <v>5666466.68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510050</t>
        </is>
      </c>
      <c r="C59" s="3" t="inlineStr">
        <is>
          <t>上证50华夏</t>
        </is>
      </c>
      <c r="D59" s="23" t="n">
        <v>46294</v>
      </c>
      <c r="E59" s="3" t="n">
        <v>724836.6800000001</v>
      </c>
      <c r="F59" s="3">
        <f>E59-E58</f>
        <v/>
      </c>
      <c r="G59" s="3">
        <f>F59/E58</f>
        <v/>
      </c>
      <c r="H59" s="3" t="n">
        <v>5666466.68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510050</t>
        </is>
      </c>
      <c r="C60" s="3" t="inlineStr">
        <is>
          <t>上证50华夏</t>
        </is>
      </c>
      <c r="D60" s="23" t="n">
        <v>46295</v>
      </c>
      <c r="E60" s="3" t="n">
        <v>693876.6800000001</v>
      </c>
      <c r="F60" s="3">
        <f>E60-E59</f>
        <v/>
      </c>
      <c r="G60" s="3">
        <f>F60/E59</f>
        <v/>
      </c>
      <c r="H60" s="3" t="n">
        <v>5666466.68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510050</t>
        </is>
      </c>
      <c r="C61" s="3" t="inlineStr">
        <is>
          <t>上证50华夏</t>
        </is>
      </c>
      <c r="D61" s="23" t="n">
        <v>46303</v>
      </c>
      <c r="E61" s="3" t="n">
        <v>693516.6800000001</v>
      </c>
      <c r="F61" s="3">
        <f>E61-E60</f>
        <v/>
      </c>
      <c r="G61" s="3">
        <f>F61/E60</f>
        <v/>
      </c>
      <c r="H61" s="3" t="n">
        <v>5666466.68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510050</t>
        </is>
      </c>
      <c r="C62" s="3" t="inlineStr">
        <is>
          <t>上证50华夏</t>
        </is>
      </c>
      <c r="D62" s="23" t="n">
        <v>46304</v>
      </c>
      <c r="E62" s="3" t="n">
        <v>712236.6800000001</v>
      </c>
      <c r="F62" s="3">
        <f>E62-E61</f>
        <v/>
      </c>
      <c r="G62" s="3">
        <f>F62/E61</f>
        <v/>
      </c>
      <c r="H62" s="3" t="n">
        <v>5666466.68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510050</t>
        </is>
      </c>
      <c r="C63" s="3" t="inlineStr">
        <is>
          <t>上证50华夏</t>
        </is>
      </c>
      <c r="D63" s="23" t="n">
        <v>46307</v>
      </c>
      <c r="E63" s="3" t="n">
        <v>711966.6800000001</v>
      </c>
      <c r="F63" s="3">
        <f>E63-E62</f>
        <v/>
      </c>
      <c r="G63" s="3">
        <f>F63/E62</f>
        <v/>
      </c>
      <c r="H63" s="3" t="n">
        <v>5666466.68</v>
      </c>
      <c r="I63" s="3">
        <f>F63/H63</f>
        <v/>
      </c>
    </row>
    <row r="64">
      <c r="A64" s="3" t="inlineStr">
        <is>
          <t>上交所</t>
        </is>
      </c>
      <c r="B64" s="3" t="inlineStr">
        <is>
          <t>510050</t>
        </is>
      </c>
      <c r="C64" s="3" t="inlineStr">
        <is>
          <t>上证50华夏</t>
        </is>
      </c>
      <c r="D64" s="23" t="n">
        <v>46308</v>
      </c>
      <c r="E64" s="3" t="n">
        <v>729876.6800000001</v>
      </c>
      <c r="F64" s="3">
        <f>E64-E63</f>
        <v/>
      </c>
      <c r="G64" s="3">
        <f>F64/E63</f>
        <v/>
      </c>
      <c r="H64" s="3" t="n">
        <v>5666466.68</v>
      </c>
      <c r="I64" s="3">
        <f>F64/H64</f>
        <v/>
      </c>
    </row>
    <row r="65">
      <c r="A65" s="3" t="inlineStr">
        <is>
          <t>上交所</t>
        </is>
      </c>
      <c r="B65" s="3" t="inlineStr">
        <is>
          <t>510050</t>
        </is>
      </c>
      <c r="C65" s="3" t="inlineStr">
        <is>
          <t>上证50华夏</t>
        </is>
      </c>
      <c r="D65" s="23" t="n">
        <v>46309</v>
      </c>
      <c r="E65" s="3" t="n">
        <v>731586.6800000001</v>
      </c>
      <c r="F65" s="3">
        <f>E65-E64</f>
        <v/>
      </c>
      <c r="G65" s="3">
        <f>F65/E64</f>
        <v/>
      </c>
      <c r="H65" s="3" t="n">
        <v>5666466.68</v>
      </c>
      <c r="I65" s="3">
        <f>F65/H65</f>
        <v/>
      </c>
    </row>
    <row r="66">
      <c r="A66" s="3" t="inlineStr">
        <is>
          <t>上交所</t>
        </is>
      </c>
      <c r="B66" s="3" t="inlineStr">
        <is>
          <t>510050</t>
        </is>
      </c>
      <c r="C66" s="3" t="inlineStr">
        <is>
          <t>上证50华夏</t>
        </is>
      </c>
      <c r="D66" s="23" t="n">
        <v>46310</v>
      </c>
      <c r="E66" s="3" t="n">
        <v>760296.6800000001</v>
      </c>
      <c r="F66" s="3">
        <f>E66-E65</f>
        <v/>
      </c>
      <c r="G66" s="3">
        <f>F66/E65</f>
        <v/>
      </c>
      <c r="H66" s="3" t="n">
        <v>5666466.68</v>
      </c>
      <c r="I66" s="3">
        <f>F66/H66</f>
        <v/>
      </c>
    </row>
    <row r="67">
      <c r="A67" s="3" t="inlineStr">
        <is>
          <t>上交所</t>
        </is>
      </c>
      <c r="B67" s="3" t="inlineStr">
        <is>
          <t>510050</t>
        </is>
      </c>
      <c r="C67" s="3" t="inlineStr">
        <is>
          <t>上证50华夏</t>
        </is>
      </c>
      <c r="D67" s="23" t="n">
        <v>46311</v>
      </c>
      <c r="E67" s="3" t="n">
        <v>891606.6800000001</v>
      </c>
      <c r="F67" s="3">
        <f>E67-E66</f>
        <v/>
      </c>
      <c r="G67" s="3">
        <f>F67/E66</f>
        <v/>
      </c>
      <c r="H67" s="3" t="n">
        <v>5666466.68</v>
      </c>
      <c r="I67" s="3">
        <f>F67/H67</f>
        <v/>
      </c>
    </row>
    <row r="68">
      <c r="A68" s="3" t="inlineStr">
        <is>
          <t>上交所</t>
        </is>
      </c>
      <c r="B68" s="3" t="inlineStr">
        <is>
          <t>510050</t>
        </is>
      </c>
      <c r="C68" s="3" t="inlineStr">
        <is>
          <t>上证50华夏</t>
        </is>
      </c>
      <c r="D68" s="23" t="n">
        <v>46314</v>
      </c>
      <c r="E68" s="3" t="n">
        <v>961986.6800000001</v>
      </c>
      <c r="F68" s="3">
        <f>E68-E67</f>
        <v/>
      </c>
      <c r="G68" s="3">
        <f>F68/E67</f>
        <v/>
      </c>
      <c r="H68" s="3" t="n">
        <v>5666466.68</v>
      </c>
      <c r="I68" s="3">
        <f>F68/H68</f>
        <v/>
      </c>
    </row>
    <row r="69">
      <c r="A69" s="3" t="inlineStr">
        <is>
          <t>上交所</t>
        </is>
      </c>
      <c r="B69" s="3" t="inlineStr">
        <is>
          <t>510050</t>
        </is>
      </c>
      <c r="C69" s="3" t="inlineStr">
        <is>
          <t>上证50华夏</t>
        </is>
      </c>
      <c r="D69" s="23" t="n">
        <v>46315</v>
      </c>
      <c r="E69" s="3" t="n">
        <v>1116066.68</v>
      </c>
      <c r="F69" s="3">
        <f>E69-E68</f>
        <v/>
      </c>
      <c r="G69" s="3">
        <f>F69/E68</f>
        <v/>
      </c>
      <c r="H69" s="3" t="n">
        <v>5666466.68</v>
      </c>
      <c r="I69" s="3">
        <f>F69/H69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5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159919</t>
        </is>
      </c>
      <c r="C64" s="3" t="inlineStr">
        <is>
          <t>沪深300ETF嘉实</t>
        </is>
      </c>
      <c r="D64" s="23" t="n">
        <v>46293</v>
      </c>
      <c r="E64" s="3" t="n">
        <v>659901.66</v>
      </c>
      <c r="F64" s="3">
        <f>E64-E63</f>
        <v/>
      </c>
      <c r="G64" s="3">
        <f>F64/E63</f>
        <v/>
      </c>
      <c r="H64" s="3" t="n">
        <v>4081881.66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159919</t>
        </is>
      </c>
      <c r="C65" s="3" t="inlineStr">
        <is>
          <t>沪深300ETF嘉实</t>
        </is>
      </c>
      <c r="D65" s="23" t="n">
        <v>46294</v>
      </c>
      <c r="E65" s="3" t="n">
        <v>661881.66</v>
      </c>
      <c r="F65" s="3">
        <f>E65-E64</f>
        <v/>
      </c>
      <c r="G65" s="3">
        <f>F65/E64</f>
        <v/>
      </c>
      <c r="H65" s="3" t="n">
        <v>4081881.66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159919</t>
        </is>
      </c>
      <c r="C66" s="3" t="inlineStr">
        <is>
          <t>沪深300ETF嘉实</t>
        </is>
      </c>
      <c r="D66" s="23" t="n">
        <v>46295</v>
      </c>
      <c r="E66" s="3" t="n">
        <v>686631.66</v>
      </c>
      <c r="F66" s="3">
        <f>E66-E65</f>
        <v/>
      </c>
      <c r="G66" s="3">
        <f>F66/E65</f>
        <v/>
      </c>
      <c r="H66" s="3" t="n">
        <v>4081881.66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159919</t>
        </is>
      </c>
      <c r="C67" s="3" t="inlineStr">
        <is>
          <t>沪深300ETF嘉实</t>
        </is>
      </c>
      <c r="D67" s="23" t="n">
        <v>46303</v>
      </c>
      <c r="E67" s="3" t="n">
        <v>687891.66</v>
      </c>
      <c r="F67" s="3">
        <f>E67-E66</f>
        <v/>
      </c>
      <c r="G67" s="3">
        <f>F67/E66</f>
        <v/>
      </c>
      <c r="H67" s="3" t="n">
        <v>4081881.66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159919</t>
        </is>
      </c>
      <c r="C68" s="3" t="inlineStr">
        <is>
          <t>沪深300ETF嘉实</t>
        </is>
      </c>
      <c r="D68" s="23" t="n">
        <v>46304</v>
      </c>
      <c r="E68" s="3" t="n">
        <v>685641.66</v>
      </c>
      <c r="F68" s="3">
        <f>E68-E67</f>
        <v/>
      </c>
      <c r="G68" s="3">
        <f>F68/E67</f>
        <v/>
      </c>
      <c r="H68" s="3" t="n">
        <v>4081881.66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159919</t>
        </is>
      </c>
      <c r="C69" s="3" t="inlineStr">
        <is>
          <t>沪深300ETF嘉实</t>
        </is>
      </c>
      <c r="D69" s="23" t="n">
        <v>46307</v>
      </c>
      <c r="E69" s="3" t="n">
        <v>684471.66</v>
      </c>
      <c r="F69" s="3">
        <f>E69-E68</f>
        <v/>
      </c>
      <c r="G69" s="3">
        <f>F69/E68</f>
        <v/>
      </c>
      <c r="H69" s="3" t="n">
        <v>4081881.66</v>
      </c>
      <c r="I69" s="3">
        <f>F69/H69</f>
        <v/>
      </c>
    </row>
    <row r="70">
      <c r="A70" s="3" t="inlineStr">
        <is>
          <t>深交所</t>
        </is>
      </c>
      <c r="B70" s="3" t="inlineStr">
        <is>
          <t>159919</t>
        </is>
      </c>
      <c r="C70" s="3" t="inlineStr">
        <is>
          <t>沪深300ETF嘉实</t>
        </is>
      </c>
      <c r="D70" s="23" t="n">
        <v>46308</v>
      </c>
      <c r="E70" s="3" t="n">
        <v>684831.66</v>
      </c>
      <c r="F70" s="3">
        <f>E70-E69</f>
        <v/>
      </c>
      <c r="G70" s="3">
        <f>F70/E69</f>
        <v/>
      </c>
      <c r="H70" s="3" t="n">
        <v>4081881.66</v>
      </c>
      <c r="I70" s="3">
        <f>F70/H70</f>
        <v/>
      </c>
    </row>
    <row r="71">
      <c r="A71" s="3" t="inlineStr">
        <is>
          <t>深交所</t>
        </is>
      </c>
      <c r="B71" s="3" t="inlineStr">
        <is>
          <t>159919</t>
        </is>
      </c>
      <c r="C71" s="3" t="inlineStr">
        <is>
          <t>沪深300ETF嘉实</t>
        </is>
      </c>
      <c r="D71" s="23" t="n">
        <v>46309</v>
      </c>
      <c r="E71" s="3" t="n">
        <v>683931.66</v>
      </c>
      <c r="F71" s="3">
        <f>E71-E70</f>
        <v/>
      </c>
      <c r="G71" s="3">
        <f>F71/E70</f>
        <v/>
      </c>
      <c r="H71" s="3" t="n">
        <v>4081881.66</v>
      </c>
      <c r="I71" s="3">
        <f>F71/H71</f>
        <v/>
      </c>
    </row>
    <row r="72">
      <c r="A72" s="3" t="inlineStr">
        <is>
          <t>深交所</t>
        </is>
      </c>
      <c r="B72" s="3" t="inlineStr">
        <is>
          <t>159919</t>
        </is>
      </c>
      <c r="C72" s="3" t="inlineStr">
        <is>
          <t>沪深300ETF嘉实</t>
        </is>
      </c>
      <c r="D72" s="23" t="n">
        <v>46310</v>
      </c>
      <c r="E72" s="3" t="n">
        <v>685191.66</v>
      </c>
      <c r="F72" s="3">
        <f>E72-E71</f>
        <v/>
      </c>
      <c r="G72" s="3">
        <f>F72/E71</f>
        <v/>
      </c>
      <c r="H72" s="3" t="n">
        <v>4081881.66</v>
      </c>
      <c r="I72" s="3">
        <f>F72/H72</f>
        <v/>
      </c>
    </row>
    <row r="73">
      <c r="A73" s="3" t="inlineStr">
        <is>
          <t>深交所</t>
        </is>
      </c>
      <c r="B73" s="3" t="inlineStr">
        <is>
          <t>159919</t>
        </is>
      </c>
      <c r="C73" s="3" t="inlineStr">
        <is>
          <t>沪深300ETF嘉实</t>
        </is>
      </c>
      <c r="D73" s="23" t="n">
        <v>46311</v>
      </c>
      <c r="E73" s="3" t="n">
        <v>692931.66</v>
      </c>
      <c r="F73" s="3">
        <f>E73-E72</f>
        <v/>
      </c>
      <c r="G73" s="3">
        <f>F73/E72</f>
        <v/>
      </c>
      <c r="H73" s="3" t="n">
        <v>4081881.66</v>
      </c>
      <c r="I73" s="3">
        <f>F73/H73</f>
        <v/>
      </c>
    </row>
    <row r="74">
      <c r="A74" s="3" t="inlineStr">
        <is>
          <t>深交所</t>
        </is>
      </c>
      <c r="B74" s="3" t="inlineStr">
        <is>
          <t>159919</t>
        </is>
      </c>
      <c r="C74" s="3" t="inlineStr">
        <is>
          <t>沪深300ETF嘉实</t>
        </is>
      </c>
      <c r="D74" s="23" t="n">
        <v>46314</v>
      </c>
      <c r="E74" s="3" t="n">
        <v>698601.66</v>
      </c>
      <c r="F74" s="3">
        <f>E74-E73</f>
        <v/>
      </c>
      <c r="G74" s="3">
        <f>F74/E73</f>
        <v/>
      </c>
      <c r="H74" s="3" t="n">
        <v>4081881.66</v>
      </c>
      <c r="I74" s="3">
        <f>F74/H74</f>
        <v/>
      </c>
    </row>
    <row r="75">
      <c r="A75" s="3" t="inlineStr">
        <is>
          <t>深交所</t>
        </is>
      </c>
      <c r="B75" s="3" t="inlineStr">
        <is>
          <t>159919</t>
        </is>
      </c>
      <c r="C75" s="3" t="inlineStr">
        <is>
          <t>沪深300ETF嘉实</t>
        </is>
      </c>
      <c r="D75" s="23" t="n">
        <v>46315</v>
      </c>
      <c r="E75" s="3" t="n">
        <v>734241.66</v>
      </c>
      <c r="F75" s="3">
        <f>E75-E74</f>
        <v/>
      </c>
      <c r="G75" s="3">
        <f>F75/E74</f>
        <v/>
      </c>
      <c r="H75" s="3" t="n">
        <v>4081881.66</v>
      </c>
      <c r="I75" s="3">
        <f>F75/H75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510300</t>
        </is>
      </c>
      <c r="C58" s="3" t="inlineStr">
        <is>
          <t>沪深300etf华泰柏瑞</t>
        </is>
      </c>
      <c r="D58" s="23" t="n">
        <v>46293</v>
      </c>
      <c r="E58" s="3" t="n">
        <v>2417808.77</v>
      </c>
      <c r="F58" s="3">
        <f>E58-E57</f>
        <v/>
      </c>
      <c r="G58" s="3">
        <f>F58/E57</f>
        <v/>
      </c>
      <c r="H58" s="3" t="n">
        <v>8882958.77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510300</t>
        </is>
      </c>
      <c r="C59" s="3" t="inlineStr">
        <is>
          <t>沪深300etf华泰柏瑞</t>
        </is>
      </c>
      <c r="D59" s="23" t="n">
        <v>46294</v>
      </c>
      <c r="E59" s="3" t="n">
        <v>2416458.77</v>
      </c>
      <c r="F59" s="3">
        <f>E59-E58</f>
        <v/>
      </c>
      <c r="G59" s="3">
        <f>F59/E58</f>
        <v/>
      </c>
      <c r="H59" s="3" t="n">
        <v>8882958.77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510300</t>
        </is>
      </c>
      <c r="C60" s="3" t="inlineStr">
        <is>
          <t>沪深300etf华泰柏瑞</t>
        </is>
      </c>
      <c r="D60" s="23" t="n">
        <v>46295</v>
      </c>
      <c r="E60" s="3" t="n">
        <v>2411958.77</v>
      </c>
      <c r="F60" s="3">
        <f>E60-E59</f>
        <v/>
      </c>
      <c r="G60" s="3">
        <f>F60/E59</f>
        <v/>
      </c>
      <c r="H60" s="3" t="n">
        <v>8882958.77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510300</t>
        </is>
      </c>
      <c r="C61" s="3" t="inlineStr">
        <is>
          <t>沪深300etf华泰柏瑞</t>
        </is>
      </c>
      <c r="D61" s="23" t="n">
        <v>46303</v>
      </c>
      <c r="E61" s="3" t="n">
        <v>2406378.77</v>
      </c>
      <c r="F61" s="3">
        <f>E61-E60</f>
        <v/>
      </c>
      <c r="G61" s="3">
        <f>F61/E60</f>
        <v/>
      </c>
      <c r="H61" s="3" t="n">
        <v>8882958.77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510300</t>
        </is>
      </c>
      <c r="C62" s="3" t="inlineStr">
        <is>
          <t>沪深300etf华泰柏瑞</t>
        </is>
      </c>
      <c r="D62" s="23" t="n">
        <v>46304</v>
      </c>
      <c r="E62" s="3" t="n">
        <v>2439228.77</v>
      </c>
      <c r="F62" s="3">
        <f>E62-E61</f>
        <v/>
      </c>
      <c r="G62" s="3">
        <f>F62/E61</f>
        <v/>
      </c>
      <c r="H62" s="3" t="n">
        <v>8882958.77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510300</t>
        </is>
      </c>
      <c r="C63" s="3" t="inlineStr">
        <is>
          <t>沪深300etf华泰柏瑞</t>
        </is>
      </c>
      <c r="D63" s="23" t="n">
        <v>46307</v>
      </c>
      <c r="E63" s="3" t="n">
        <v>2452998.77</v>
      </c>
      <c r="F63" s="3">
        <f>E63-E62</f>
        <v/>
      </c>
      <c r="G63" s="3">
        <f>F63/E62</f>
        <v/>
      </c>
      <c r="H63" s="3" t="n">
        <v>8882958.77</v>
      </c>
      <c r="I63" s="3">
        <f>F63/H63</f>
        <v/>
      </c>
    </row>
    <row r="64">
      <c r="A64" s="3" t="inlineStr">
        <is>
          <t>上交所</t>
        </is>
      </c>
      <c r="B64" s="3" t="inlineStr">
        <is>
          <t>510300</t>
        </is>
      </c>
      <c r="C64" s="3" t="inlineStr">
        <is>
          <t>沪深300etf华泰柏瑞</t>
        </is>
      </c>
      <c r="D64" s="23" t="n">
        <v>46308</v>
      </c>
      <c r="E64" s="3" t="n">
        <v>2489718.77</v>
      </c>
      <c r="F64" s="3">
        <f>E64-E63</f>
        <v/>
      </c>
      <c r="G64" s="3">
        <f>F64/E63</f>
        <v/>
      </c>
      <c r="H64" s="3" t="n">
        <v>8882958.77</v>
      </c>
      <c r="I64" s="3">
        <f>F64/H64</f>
        <v/>
      </c>
    </row>
    <row r="65">
      <c r="A65" s="3" t="inlineStr">
        <is>
          <t>上交所</t>
        </is>
      </c>
      <c r="B65" s="3" t="inlineStr">
        <is>
          <t>510300</t>
        </is>
      </c>
      <c r="C65" s="3" t="inlineStr">
        <is>
          <t>沪深300etf华泰柏瑞</t>
        </is>
      </c>
      <c r="D65" s="23" t="n">
        <v>46309</v>
      </c>
      <c r="E65" s="3" t="n">
        <v>2469018.77</v>
      </c>
      <c r="F65" s="3">
        <f>E65-E64</f>
        <v/>
      </c>
      <c r="G65" s="3">
        <f>F65/E64</f>
        <v/>
      </c>
      <c r="H65" s="3" t="n">
        <v>8882958.77</v>
      </c>
      <c r="I65" s="3">
        <f>F65/H65</f>
        <v/>
      </c>
    </row>
    <row r="66">
      <c r="A66" s="3" t="inlineStr">
        <is>
          <t>上交所</t>
        </is>
      </c>
      <c r="B66" s="3" t="inlineStr">
        <is>
          <t>510300</t>
        </is>
      </c>
      <c r="C66" s="3" t="inlineStr">
        <is>
          <t>沪深300etf华泰柏瑞</t>
        </is>
      </c>
      <c r="D66" s="23" t="n">
        <v>46310</v>
      </c>
      <c r="E66" s="3" t="n">
        <v>2548488.77</v>
      </c>
      <c r="F66" s="3">
        <f>E66-E65</f>
        <v/>
      </c>
      <c r="G66" s="3">
        <f>F66/E65</f>
        <v/>
      </c>
      <c r="H66" s="3" t="n">
        <v>8882958.77</v>
      </c>
      <c r="I66" s="3">
        <f>F66/H66</f>
        <v/>
      </c>
    </row>
    <row r="67">
      <c r="A67" s="3" t="inlineStr">
        <is>
          <t>上交所</t>
        </is>
      </c>
      <c r="B67" s="3" t="inlineStr">
        <is>
          <t>510300</t>
        </is>
      </c>
      <c r="C67" s="3" t="inlineStr">
        <is>
          <t>沪深300etf华泰柏瑞</t>
        </is>
      </c>
      <c r="D67" s="23" t="n">
        <v>46311</v>
      </c>
      <c r="E67" s="3" t="n">
        <v>2855298.77</v>
      </c>
      <c r="F67" s="3">
        <f>E67-E66</f>
        <v/>
      </c>
      <c r="G67" s="3">
        <f>F67/E66</f>
        <v/>
      </c>
      <c r="H67" s="3" t="n">
        <v>8882958.77</v>
      </c>
      <c r="I67" s="3">
        <f>F67/H67</f>
        <v/>
      </c>
    </row>
    <row r="68">
      <c r="A68" s="3" t="inlineStr">
        <is>
          <t>上交所</t>
        </is>
      </c>
      <c r="B68" s="3" t="inlineStr">
        <is>
          <t>510300</t>
        </is>
      </c>
      <c r="C68" s="3" t="inlineStr">
        <is>
          <t>沪深300etf华泰柏瑞</t>
        </is>
      </c>
      <c r="D68" s="23" t="n">
        <v>46314</v>
      </c>
      <c r="E68" s="3" t="n">
        <v>2919558.77</v>
      </c>
      <c r="F68" s="3">
        <f>E68-E67</f>
        <v/>
      </c>
      <c r="G68" s="3">
        <f>F68/E67</f>
        <v/>
      </c>
      <c r="H68" s="3" t="n">
        <v>8882958.77</v>
      </c>
      <c r="I68" s="3">
        <f>F68/H68</f>
        <v/>
      </c>
    </row>
    <row r="69">
      <c r="A69" s="3" t="inlineStr">
        <is>
          <t>上交所</t>
        </is>
      </c>
      <c r="B69" s="3" t="inlineStr">
        <is>
          <t>510300</t>
        </is>
      </c>
      <c r="C69" s="3" t="inlineStr">
        <is>
          <t>沪深300etf华泰柏瑞</t>
        </is>
      </c>
      <c r="D69" s="23" t="n">
        <v>46315</v>
      </c>
      <c r="E69" s="3" t="n">
        <v>2940078.77</v>
      </c>
      <c r="F69" s="3">
        <f>E69-E68</f>
        <v/>
      </c>
      <c r="G69" s="3">
        <f>F69/E68</f>
        <v/>
      </c>
      <c r="H69" s="3" t="n">
        <v>8882958.77</v>
      </c>
      <c r="I69" s="3">
        <f>F69/H69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连续6日增持</t>
        </is>
      </c>
      <c r="I2" s="13">
        <f>SUM(INDEX('510050'!$I:$I,COUNTA('510050'!$E:$E)-6+1):INDEX('510050'!$I:$I,COUNTA('510050'!$E:$E)))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连续4日增持</t>
        </is>
      </c>
      <c r="I3" s="13">
        <f>SUM(INDEX('510300'!$I:$I,COUNTA('510300'!$E:$E)-4+1):INDEX('510300'!$I:$I,COUNTA('510300'!$E:$E)))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连续4日增持</t>
        </is>
      </c>
      <c r="I4" s="13">
        <f>SUM(INDEX('159919'!$I:$I,COUNTA('159919'!$E:$E)-4+1):INDEX('159919'!$I:$I,COUNTA('159919'!$E:$E)))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连续9日增持</t>
        </is>
      </c>
      <c r="I5" s="13">
        <f>SUM(INDEX('159915'!$I:$I,COUNTA('159915'!$E:$E)-9+1):INDEX('159915'!$I:$I,COUNTA('159915'!$E:$E)))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5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159915</t>
        </is>
      </c>
      <c r="C64" s="3" t="inlineStr">
        <is>
          <t>易方达创业板ETF</t>
        </is>
      </c>
      <c r="D64" s="23" t="n">
        <v>46293</v>
      </c>
      <c r="E64" s="3" t="n">
        <v>2086445.49</v>
      </c>
      <c r="F64" s="3">
        <f>E64-E63</f>
        <v/>
      </c>
      <c r="G64" s="3">
        <f>F64/E63</f>
        <v/>
      </c>
      <c r="H64" s="3" t="n">
        <v>3150245.49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159915</t>
        </is>
      </c>
      <c r="C65" s="3" t="inlineStr">
        <is>
          <t>易方达创业板ETF</t>
        </is>
      </c>
      <c r="D65" s="23" t="n">
        <v>46294</v>
      </c>
      <c r="E65" s="3" t="n">
        <v>2073045.49</v>
      </c>
      <c r="F65" s="3">
        <f>E65-E64</f>
        <v/>
      </c>
      <c r="G65" s="3">
        <f>F65/E64</f>
        <v/>
      </c>
      <c r="H65" s="3" t="n">
        <v>3150245.49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159915</t>
        </is>
      </c>
      <c r="C66" s="3" t="inlineStr">
        <is>
          <t>易方达创业板ETF</t>
        </is>
      </c>
      <c r="D66" s="23" t="n">
        <v>46295</v>
      </c>
      <c r="E66" s="3" t="n">
        <v>2060945.49</v>
      </c>
      <c r="F66" s="3">
        <f>E66-E65</f>
        <v/>
      </c>
      <c r="G66" s="3">
        <f>F66/E65</f>
        <v/>
      </c>
      <c r="H66" s="3" t="n">
        <v>3150245.49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159915</t>
        </is>
      </c>
      <c r="C67" s="3" t="inlineStr">
        <is>
          <t>易方达创业板ETF</t>
        </is>
      </c>
      <c r="D67" s="23" t="n">
        <v>46303</v>
      </c>
      <c r="E67" s="3" t="n">
        <v>2130845.49</v>
      </c>
      <c r="F67" s="3">
        <f>E67-E66</f>
        <v/>
      </c>
      <c r="G67" s="3">
        <f>F67/E66</f>
        <v/>
      </c>
      <c r="H67" s="3" t="n">
        <v>3150245.49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159915</t>
        </is>
      </c>
      <c r="C68" s="3" t="inlineStr">
        <is>
          <t>易方达创业板ETF</t>
        </is>
      </c>
      <c r="D68" s="23" t="n">
        <v>46304</v>
      </c>
      <c r="E68" s="3" t="n">
        <v>2202245.49</v>
      </c>
      <c r="F68" s="3">
        <f>E68-E67</f>
        <v/>
      </c>
      <c r="G68" s="3">
        <f>F68/E67</f>
        <v/>
      </c>
      <c r="H68" s="3" t="n">
        <v>3150245.49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159915</t>
        </is>
      </c>
      <c r="C69" s="3" t="inlineStr">
        <is>
          <t>易方达创业板ETF</t>
        </is>
      </c>
      <c r="D69" s="23" t="n">
        <v>46307</v>
      </c>
      <c r="E69" s="3" t="n">
        <v>2222645.49</v>
      </c>
      <c r="F69" s="3">
        <f>E69-E68</f>
        <v/>
      </c>
      <c r="G69" s="3">
        <f>F69/E68</f>
        <v/>
      </c>
      <c r="H69" s="3" t="n">
        <v>3150245.49</v>
      </c>
      <c r="I69" s="3">
        <f>F69/H69</f>
        <v/>
      </c>
    </row>
    <row r="70">
      <c r="A70" s="3" t="inlineStr">
        <is>
          <t>深交所</t>
        </is>
      </c>
      <c r="B70" s="3" t="inlineStr">
        <is>
          <t>159915</t>
        </is>
      </c>
      <c r="C70" s="3" t="inlineStr">
        <is>
          <t>易方达创业板ETF</t>
        </is>
      </c>
      <c r="D70" s="23" t="n">
        <v>46308</v>
      </c>
      <c r="E70" s="3" t="n">
        <v>2295945.49</v>
      </c>
      <c r="F70" s="3">
        <f>E70-E69</f>
        <v/>
      </c>
      <c r="G70" s="3">
        <f>F70/E69</f>
        <v/>
      </c>
      <c r="H70" s="3" t="n">
        <v>3150245.49</v>
      </c>
      <c r="I70" s="3">
        <f>F70/H70</f>
        <v/>
      </c>
    </row>
    <row r="71">
      <c r="A71" s="3" t="inlineStr">
        <is>
          <t>深交所</t>
        </is>
      </c>
      <c r="B71" s="3" t="inlineStr">
        <is>
          <t>159915</t>
        </is>
      </c>
      <c r="C71" s="3" t="inlineStr">
        <is>
          <t>易方达创业板ETF</t>
        </is>
      </c>
      <c r="D71" s="23" t="n">
        <v>46309</v>
      </c>
      <c r="E71" s="3" t="n">
        <v>2349745.49</v>
      </c>
      <c r="F71" s="3">
        <f>E71-E70</f>
        <v/>
      </c>
      <c r="G71" s="3">
        <f>F71/E70</f>
        <v/>
      </c>
      <c r="H71" s="3" t="n">
        <v>3150245.49</v>
      </c>
      <c r="I71" s="3">
        <f>F71/H71</f>
        <v/>
      </c>
    </row>
    <row r="72">
      <c r="A72" s="3" t="inlineStr">
        <is>
          <t>深交所</t>
        </is>
      </c>
      <c r="B72" s="3" t="inlineStr">
        <is>
          <t>159915</t>
        </is>
      </c>
      <c r="C72" s="3" t="inlineStr">
        <is>
          <t>易方达创业板ETF</t>
        </is>
      </c>
      <c r="D72" s="23" t="n">
        <v>46310</v>
      </c>
      <c r="E72" s="3" t="n">
        <v>2547045.49</v>
      </c>
      <c r="F72" s="3">
        <f>E72-E71</f>
        <v/>
      </c>
      <c r="G72" s="3">
        <f>F72/E71</f>
        <v/>
      </c>
      <c r="H72" s="3" t="n">
        <v>3150245.49</v>
      </c>
      <c r="I72" s="3">
        <f>F72/H72</f>
        <v/>
      </c>
    </row>
    <row r="73">
      <c r="A73" s="3" t="inlineStr">
        <is>
          <t>深交所</t>
        </is>
      </c>
      <c r="B73" s="3" t="inlineStr">
        <is>
          <t>159915</t>
        </is>
      </c>
      <c r="C73" s="3" t="inlineStr">
        <is>
          <t>易方达创业板ETF</t>
        </is>
      </c>
      <c r="D73" s="23" t="n">
        <v>46311</v>
      </c>
      <c r="E73" s="3" t="n">
        <v>2593645.49</v>
      </c>
      <c r="F73" s="3">
        <f>E73-E72</f>
        <v/>
      </c>
      <c r="G73" s="3">
        <f>F73/E72</f>
        <v/>
      </c>
      <c r="H73" s="3" t="n">
        <v>3150245.49</v>
      </c>
      <c r="I73" s="3">
        <f>F73/H73</f>
        <v/>
      </c>
    </row>
    <row r="74">
      <c r="A74" s="3" t="inlineStr">
        <is>
          <t>深交所</t>
        </is>
      </c>
      <c r="B74" s="3" t="inlineStr">
        <is>
          <t>159915</t>
        </is>
      </c>
      <c r="C74" s="3" t="inlineStr">
        <is>
          <t>易方达创业板ETF</t>
        </is>
      </c>
      <c r="D74" s="23" t="n">
        <v>46314</v>
      </c>
      <c r="E74" s="3" t="n">
        <v>2673645.49</v>
      </c>
      <c r="F74" s="3">
        <f>E74-E73</f>
        <v/>
      </c>
      <c r="G74" s="3">
        <f>F74/E73</f>
        <v/>
      </c>
      <c r="H74" s="3" t="n">
        <v>3150245.49</v>
      </c>
      <c r="I74" s="3">
        <f>F74/H74</f>
        <v/>
      </c>
    </row>
    <row r="75">
      <c r="A75" s="3" t="inlineStr">
        <is>
          <t>深交所</t>
        </is>
      </c>
      <c r="B75" s="3" t="inlineStr">
        <is>
          <t>159915</t>
        </is>
      </c>
      <c r="C75" s="3" t="inlineStr">
        <is>
          <t>易方达创业板ETF</t>
        </is>
      </c>
      <c r="D75" s="23" t="n">
        <v>46315</v>
      </c>
      <c r="E75" s="3" t="n">
        <v>2734345.49</v>
      </c>
      <c r="F75" s="3">
        <f>E75-E74</f>
        <v/>
      </c>
      <c r="G75" s="3">
        <f>F75/E74</f>
        <v/>
      </c>
      <c r="H75" s="3" t="n">
        <v>3150245.49</v>
      </c>
      <c r="I75" s="3">
        <f>F75/H75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2026-10-21T06:18:56Z</dcterms:modified>
</cp:coreProperties>
</file>