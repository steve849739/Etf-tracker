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510050" sheetId="1" r:id="rId3"/>
    <sheet name="159919" sheetId="2" r:id="rId4"/>
    <sheet name="510300" sheetId="3" r:id="rId5"/>
    <sheet name="总结" sheetId="4" r:id="rId6"/>
    <sheet name="159915" sheetId="5" r:id="rId7"/>
  </sheets>
  <calcPr calcId="191029" fullCalcOnLoad="1"/>
</workbook>
</file>

<file path=xl/sharedStrings.xml><?xml version="1.0" encoding="utf-8"?>
<sst xmlns="http://schemas.openxmlformats.org/spreadsheetml/2006/main" count="30" uniqueCount="30">
  <si>
    <t/>
  </si>
  <si>
    <r>
      <t>来源</t>
    </r>
  </si>
  <si>
    <r>
      <t>代码</t>
    </r>
  </si>
  <si>
    <r>
      <t>名称</t>
    </r>
  </si>
  <si>
    <r>
      <t>日期</t>
    </r>
  </si>
  <si>
    <r>
      <t>当日公示份额（万份）</t>
    </r>
  </si>
  <si>
    <r>
      <t>当日变化</t>
    </r>
  </si>
  <si>
    <r>
      <t>环比变动比例</t>
    </r>
  </si>
  <si>
    <r>
      <t>基期总份额</t>
    </r>
  </si>
  <si>
    <r>
      <t>相对基期变动比例</t>
    </r>
  </si>
  <si>
    <r>
      <t>上交所</t>
    </r>
  </si>
  <si>
    <r>
      <t>510050</t>
    </r>
  </si>
  <si>
    <r>
      <t>上证50华夏</t>
    </r>
  </si>
  <si>
    <r>
      <t>深交所</t>
    </r>
  </si>
  <si>
    <r>
      <t>159919</t>
    </r>
  </si>
  <si>
    <r>
      <t>沪深300ETF嘉实</t>
    </r>
  </si>
  <si>
    <r>
      <t>510300</t>
    </r>
  </si>
  <si>
    <r>
      <t>沪深300etf华泰柏瑞</t>
    </r>
  </si>
  <si>
    <r>
      <t>最新日期</t>
    </r>
  </si>
  <si>
    <r>
      <t>公示份额</t>
    </r>
  </si>
  <si>
    <r>
      <t>环比昨日变动</t>
    </r>
  </si>
  <si>
    <r>
      <t>相对基期变动</t>
    </r>
  </si>
  <si>
    <r>
      <t>状态</t>
    </r>
  </si>
  <si>
    <r>
      <t>连续n日累计变动比例</t>
    </r>
  </si>
  <si>
    <r>
      <t>连续2日增持</t>
    </r>
  </si>
  <si>
    <r>
      <t>反转增持</t>
    </r>
  </si>
  <si>
    <r>
      <t>连续8日增持</t>
    </r>
  </si>
  <si>
    <r>
      <t>159915</t>
    </r>
  </si>
  <si>
    <r>
      <t>易方达创业板ETF</t>
    </r>
  </si>
  <si>
    <r>
      <t>连续2日减持</t>
    </r>
  </si>
</sst>
</file>

<file path=xl/styles.xml><?xml version="1.0" encoding="utf-8"?>
<styleSheet xmlns="http://schemas.openxmlformats.org/spreadsheetml/2006/main">
  <numFmts count="6">
    <numFmt numFmtId="300" formatCode="yyyy-mm-dd h:mm:ss"/>
    <numFmt numFmtId="301" formatCode="yyyy-mm-dd"/>
    <numFmt numFmtId="302" formatCode="0.00%"/>
    <numFmt numFmtId="303" formatCode="General"/>
    <numFmt numFmtId="304" formatCode="_ * #,##0.00_ ;_ * -#,##0.00_ ;_ * &quot;-&quot;??_ ;_ @_ "/>
    <numFmt numFmtId="305" formatCode="0%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3" fontId="4" fillId="3" borderId="1" xfId="0" applyAlignment="1">
      <alignment vertical="center"/>
    </xf>
    <xf numFmtId="304" fontId="4" fillId="3" borderId="1" xfId="0" applyAlignment="1">
      <alignment vertical="center"/>
    </xf>
    <xf numFmtId="305" fontId="4" fillId="3" borderId="1" xfId="0" applyAlignment="1">
      <alignment vertical="center"/>
    </xf>
  </cellStyleXfs>
  <cellXfs count="1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303" fontId="3" fillId="2" borderId="1" xfId="0" applyFont="1" applyFill="1" applyAlignment="1">
      <alignment horizontal="center" vertical="center"/>
    </xf>
    <xf numFmtId="303" fontId="4" fillId="3" borderId="1" xfId="0">
      <alignment vertical="center"/>
    </xf>
    <xf numFmtId="300" fontId="4" fillId="3" borderId="1" xfId="0" applyNumberFormat="1" applyAlignment="1">
      <alignment vertical="bottom"/>
    </xf>
    <xf numFmtId="303" fontId="4" fillId="3" borderId="1" xfId="0" applyFont="1" applyFill="1" applyBorder="1">
      <alignment vertical="center"/>
    </xf>
    <xf numFmtId="300" fontId="4" fillId="3" borderId="1" xfId="0" applyNumberFormat="1" applyFont="1" applyFill="1" applyBorder="1" applyAlignment="1">
      <alignment vertical="bottom"/>
    </xf>
    <xf numFmtId="10" fontId="3" fillId="2" borderId="1" xfId="0" applyNumberFormat="1" applyFont="1" applyFill="1" applyAlignment="1">
      <alignment horizontal="center" vertical="center"/>
    </xf>
    <xf numFmtId="10" fontId="4" fillId="3" borderId="1" xfId="0" applyNumberFormat="1">
      <alignment vertical="center"/>
    </xf>
    <xf numFmtId="301" fontId="4" fillId="3" borderId="1" xfId="0" applyNumberFormat="1" applyAlignment="1">
      <alignment vertical="bottom"/>
    </xf>
    <xf numFmtId="4" fontId="4" fillId="3" borderId="1" xfId="0" applyNumberFormat="1" applyAlignment="1">
      <alignment vertical="bottom"/>
    </xf>
    <xf numFmtId="10" fontId="4" fillId="3" borderId="1" xfId="0" applyNumberFormat="1" applyAlignment="1">
      <alignment vertical="bottom"/>
    </xf>
    <xf numFmtId="68" fontId="3" fillId="2" borderId="1" xfId="0" applyNumberFormat="1" applyFont="1" applyFill="1" applyAlignment="1">
      <alignment horizontal="center" vertical="center"/>
    </xf>
    <xf numFmtId="68" fontId="4" fillId="3" borderId="1" xfId="0" applyNumberFormat="1">
      <alignment vertical="center"/>
    </xf>
    <xf numFmtId="68" fontId="4" fillId="3" borderId="1" xfId="0" applyNumberFormat="1" applyFont="1" applyFill="1" applyBorder="1">
      <alignment vertical="center"/>
    </xf>
    <xf numFmtId="302" fontId="4" fillId="3" borderId="1" xfId="0" applyNumberFormat="1" applyFill="1" applyBorder="1" applyAlignment="1">
      <alignment vertical="center"/>
    </xf>
    <xf numFmtId="303" fontId="4" fillId="3" borderId="1" xfId="0" applyNumberFormat="1" applyFill="1" applyBorder="1" applyAlignment="1">
      <alignment vertical="center"/>
    </xf>
  </cellXfs>
  <cellStyles>
    <cellStyle name="常规" xfId="0" builtinId="0"/>
    <cellStyle name="千位分隔" xfId="1" builtinId="3"/>
    <cellStyle name="百分比" xfId="2" builtinId="5"/>
  </cellStyle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7" Type="http://schemas.openxmlformats.org/officeDocument/2006/relationships/worksheet" Target="worksheets/sheet5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I25"/>
  <sheetViews>
    <sheetView showGridLines="1" workbookViewId="0"/>
  </sheetViews>
  <sheetFormatPr baseColWidth="8" defaultRowHeight="15"/>
  <cols>
    <col min="9" max="9" width="12.8828" style="17" customWidth="1"/>
  </cols>
  <sheetData>
    <row r="1" spans="1:9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14" t="s">
        <v>9</v>
      </c>
    </row>
    <row r="2" spans="1:8">
      <c r="A2" s="5" t="s">
        <v>10</v>
      </c>
      <c r="B2" s="5" t="s">
        <v>11</v>
      </c>
      <c r="C2" s="5" t="s">
        <v>12</v>
      </c>
      <c r="D2" s="6">
        <v>46204</v>
      </c>
      <c r="E2" s="5">
        <v>638886.68</v>
      </c>
      <c r="H2" s="5">
        <v>5666466.68</v>
      </c>
    </row>
    <row r="3" spans="1:9">
      <c r="A3" s="5" t="s">
        <v>10</v>
      </c>
      <c r="B3" s="5" t="s">
        <v>11</v>
      </c>
      <c r="C3" s="5" t="s">
        <v>12</v>
      </c>
      <c r="D3" s="6">
        <v>46205</v>
      </c>
      <c r="E3" s="5">
        <v>667596.68</v>
      </c>
      <c r="F3" s="5">
        <f>=E3-E2</f>
        <v>28710</v>
      </c>
      <c r="G3" s="5">
        <f>=F3/E2</f>
        <v>0.0449375466710309</v>
      </c>
      <c r="H3" s="5">
        <v>5666466.68</v>
      </c>
      <c r="I3" s="15">
        <f>=F3/H3</f>
        <v>0.00506664939923374</v>
      </c>
    </row>
    <row r="4" spans="1:9">
      <c r="A4" s="5" t="s">
        <v>10</v>
      </c>
      <c r="B4" s="5" t="s">
        <v>11</v>
      </c>
      <c r="C4" s="5" t="s">
        <v>12</v>
      </c>
      <c r="D4" s="6">
        <v>46206</v>
      </c>
      <c r="E4" s="5">
        <v>653736.68</v>
      </c>
      <c r="F4" s="5">
        <f>=E4-E3</f>
        <v>-13860</v>
      </c>
      <c r="G4" s="5">
        <f>=F4/E3</f>
        <v>-0.0207610379368573</v>
      </c>
      <c r="H4" s="5">
        <v>5666466.68</v>
      </c>
      <c r="I4" s="15">
        <f>=F4/H4</f>
        <v>-0.00244596867549215</v>
      </c>
    </row>
    <row r="5" spans="1:9">
      <c r="A5" s="5" t="s">
        <v>10</v>
      </c>
      <c r="B5" s="5" t="s">
        <v>11</v>
      </c>
      <c r="C5" s="5" t="s">
        <v>12</v>
      </c>
      <c r="D5" s="6">
        <v>46209</v>
      </c>
      <c r="E5" s="5">
        <v>640506.68</v>
      </c>
      <c r="F5" s="5">
        <f>=E5-E4</f>
        <v>-13230</v>
      </c>
      <c r="G5" s="5">
        <f>=F5/E4</f>
        <v>-0.0202375060245969</v>
      </c>
      <c r="H5" s="5">
        <v>5666466.68</v>
      </c>
      <c r="I5" s="15">
        <f>=F5/H5</f>
        <v>-0.0023347882811516</v>
      </c>
    </row>
    <row r="6" spans="1:9">
      <c r="A6" s="5" t="s">
        <v>10</v>
      </c>
      <c r="B6" s="5" t="s">
        <v>11</v>
      </c>
      <c r="C6" s="5" t="s">
        <v>12</v>
      </c>
      <c r="D6" s="6">
        <v>46210</v>
      </c>
      <c r="E6" s="5">
        <v>654456.68</v>
      </c>
      <c r="F6" s="5">
        <f>=E6-E5</f>
        <v>13950</v>
      </c>
      <c r="G6" s="5">
        <f>=F6/E5</f>
        <v>0.0217796323373239</v>
      </c>
      <c r="H6" s="5">
        <v>5666466.68</v>
      </c>
      <c r="I6" s="15">
        <f>=F6/H6</f>
        <v>0.00246185158896937</v>
      </c>
    </row>
    <row r="7" spans="1:9">
      <c r="A7" s="5" t="s">
        <v>10</v>
      </c>
      <c r="B7" s="5" t="s">
        <v>11</v>
      </c>
      <c r="C7" s="5" t="s">
        <v>12</v>
      </c>
      <c r="D7" s="6">
        <v>46211</v>
      </c>
      <c r="E7" s="5">
        <v>659586.68</v>
      </c>
      <c r="F7" s="5">
        <f>=E7-E6</f>
        <v>5130</v>
      </c>
      <c r="G7" s="5">
        <f>=F7/E6</f>
        <v>0.00783856312689787</v>
      </c>
      <c r="H7" s="5">
        <v>5666466.68</v>
      </c>
      <c r="I7" s="15">
        <f>=F7/H7</f>
        <v>0.00090532606820164</v>
      </c>
    </row>
    <row r="8" spans="1:9">
      <c r="A8" s="5" t="s">
        <v>10</v>
      </c>
      <c r="B8" s="5" t="s">
        <v>11</v>
      </c>
      <c r="C8" s="5" t="s">
        <v>12</v>
      </c>
      <c r="D8" s="6">
        <v>46212</v>
      </c>
      <c r="E8" s="5">
        <v>658686.68</v>
      </c>
      <c r="F8" s="5">
        <f>=E8-E7</f>
        <v>-900</v>
      </c>
      <c r="G8" s="5">
        <f>=F8/E7</f>
        <v>-0.00136449086570396</v>
      </c>
      <c r="H8" s="5">
        <v>5666466.68</v>
      </c>
      <c r="I8" s="15">
        <f>=F8/H8</f>
        <v>-0.000158829134772218</v>
      </c>
    </row>
    <row r="9" spans="1:9">
      <c r="A9" s="5" t="s">
        <v>10</v>
      </c>
      <c r="B9" s="5" t="s">
        <v>11</v>
      </c>
      <c r="C9" s="5" t="s">
        <v>12</v>
      </c>
      <c r="D9" s="6">
        <v>46213</v>
      </c>
      <c r="E9" s="5">
        <v>640866.68</v>
      </c>
      <c r="F9" s="5">
        <f>=E9-E8</f>
        <v>-17820</v>
      </c>
      <c r="G9" s="5">
        <f>=F9/E8</f>
        <v>-0.0270538338501091</v>
      </c>
      <c r="H9" s="5">
        <v>5666466.68</v>
      </c>
      <c r="I9" s="15">
        <f>=F9/H9</f>
        <v>-0.00314481686848991</v>
      </c>
    </row>
    <row r="10" spans="1:9">
      <c r="A10" s="5" t="s">
        <v>10</v>
      </c>
      <c r="B10" s="5" t="s">
        <v>11</v>
      </c>
      <c r="C10" s="5" t="s">
        <v>12</v>
      </c>
      <c r="D10" s="6">
        <v>46216</v>
      </c>
      <c r="E10" s="5">
        <v>666786.68</v>
      </c>
      <c r="F10" s="5">
        <f>=E10-E9</f>
        <v>25920</v>
      </c>
      <c r="G10" s="5">
        <f>=F10/E9</f>
        <v>0.040445229575674</v>
      </c>
      <c r="H10" s="5">
        <v>5666466.68</v>
      </c>
      <c r="I10" s="15">
        <f>=F10/H10</f>
        <v>0.00457427908143987</v>
      </c>
    </row>
    <row r="11" spans="1:9">
      <c r="A11" s="5" t="s">
        <v>10</v>
      </c>
      <c r="B11" s="5" t="s">
        <v>11</v>
      </c>
      <c r="C11" s="5" t="s">
        <v>12</v>
      </c>
      <c r="D11" s="6">
        <v>46217</v>
      </c>
      <c r="E11" s="5">
        <v>685236.68</v>
      </c>
      <c r="F11" s="5">
        <f>=E11-E10</f>
        <v>18450</v>
      </c>
      <c r="G11" s="5">
        <f>=F11/E10</f>
        <v>0.0276700188432078</v>
      </c>
      <c r="H11" s="5">
        <v>5666466.68</v>
      </c>
      <c r="I11" s="15">
        <f>=F11/H11</f>
        <v>0.00325599726283046</v>
      </c>
    </row>
    <row r="12" spans="1:9">
      <c r="A12" s="5" t="s">
        <v>10</v>
      </c>
      <c r="B12" s="5" t="s">
        <v>11</v>
      </c>
      <c r="C12" s="5" t="s">
        <v>12</v>
      </c>
      <c r="D12" s="6">
        <v>46218</v>
      </c>
      <c r="E12" s="5">
        <v>726006.68</v>
      </c>
      <c r="F12" s="5">
        <f>=E12-E11</f>
        <v>40770</v>
      </c>
      <c r="G12" s="5">
        <f>=F12/E11</f>
        <v>0.059497690637343</v>
      </c>
      <c r="H12" s="5">
        <v>5666466.68</v>
      </c>
      <c r="I12" s="15">
        <f>=F12/H12</f>
        <v>0.00719495980518146</v>
      </c>
    </row>
    <row r="13" spans="1:9">
      <c r="A13" s="5" t="s">
        <v>10</v>
      </c>
      <c r="B13" s="5" t="s">
        <v>11</v>
      </c>
      <c r="C13" s="5" t="s">
        <v>12</v>
      </c>
      <c r="D13" s="6">
        <v>46219</v>
      </c>
      <c r="E13" s="5">
        <v>815016.68</v>
      </c>
      <c r="F13" s="5">
        <f>=E13-E12</f>
        <v>89010</v>
      </c>
      <c r="G13" s="5">
        <f>=F13/E12</f>
        <v>0.12260217770999</v>
      </c>
      <c r="H13" s="5">
        <v>5666466.68</v>
      </c>
      <c r="I13" s="15">
        <f>=F13/H13</f>
        <v>0.0157082014289723</v>
      </c>
    </row>
    <row r="14" spans="1:9">
      <c r="A14" s="5" t="s">
        <v>10</v>
      </c>
      <c r="B14" s="5" t="s">
        <v>11</v>
      </c>
      <c r="C14" s="5" t="s">
        <v>12</v>
      </c>
      <c r="D14" s="6">
        <v>46220</v>
      </c>
      <c r="E14" s="5">
        <v>823746.68</v>
      </c>
      <c r="F14" s="5">
        <f>=E14-E13</f>
        <v>8730</v>
      </c>
      <c r="G14" s="5">
        <f>=F14/E13</f>
        <v>0.0107114372186837</v>
      </c>
      <c r="H14" s="5">
        <v>5666466.68</v>
      </c>
      <c r="I14" s="15">
        <f>=F14/H14</f>
        <v>0.00154064260729051</v>
      </c>
    </row>
    <row r="15" spans="1:9">
      <c r="A15" s="5" t="s">
        <v>10</v>
      </c>
      <c r="B15" s="5" t="s">
        <v>11</v>
      </c>
      <c r="C15" s="5" t="s">
        <v>12</v>
      </c>
      <c r="D15" s="6">
        <v>46223</v>
      </c>
      <c r="E15" s="5">
        <v>832206.68</v>
      </c>
      <c r="F15" s="5">
        <f>=E15-E14</f>
        <v>8460</v>
      </c>
      <c r="G15" s="5">
        <f>=F15/E14</f>
        <v>0.0102701476138271</v>
      </c>
      <c r="H15" s="5">
        <v>5666466.68</v>
      </c>
      <c r="I15" s="15">
        <f>=F15/H15</f>
        <v>0.00149299386685885</v>
      </c>
    </row>
    <row r="16" spans="1:9">
      <c r="A16" s="5" t="s">
        <v>10</v>
      </c>
      <c r="B16" s="5" t="s">
        <v>11</v>
      </c>
      <c r="C16" s="5" t="s">
        <v>12</v>
      </c>
      <c r="D16" s="6">
        <v>46224</v>
      </c>
      <c r="E16" s="5">
        <v>747606.68</v>
      </c>
      <c r="F16" s="5">
        <f>=E16-E15</f>
        <v>-84600</v>
      </c>
      <c r="G16" s="5">
        <f>=F16/E15</f>
        <v>-0.101657439231322</v>
      </c>
      <c r="H16" s="5">
        <v>5666466.68</v>
      </c>
      <c r="I16" s="15">
        <f>=F16/H16</f>
        <v>-0.0149299386685885</v>
      </c>
    </row>
    <row r="17" spans="1:9">
      <c r="A17" s="5" t="s">
        <v>10</v>
      </c>
      <c r="B17" s="5" t="s">
        <v>11</v>
      </c>
      <c r="C17" s="5" t="s">
        <v>12</v>
      </c>
      <c r="D17" s="6">
        <v>46225</v>
      </c>
      <c r="E17" s="5">
        <v>747516.68</v>
      </c>
      <c r="F17" s="5">
        <f>=E17-E16</f>
        <v>-90</v>
      </c>
      <c r="G17" s="5">
        <f>=F17/E16</f>
        <v>-0.0001203841570811</v>
      </c>
      <c r="H17" s="5">
        <v>5666466.68</v>
      </c>
      <c r="I17" s="15">
        <f>=F17/H17</f>
        <v>-0.0000158829134772218</v>
      </c>
    </row>
    <row r="18" spans="1:9">
      <c r="A18" s="5" t="s">
        <v>10</v>
      </c>
      <c r="B18" s="5" t="s">
        <v>11</v>
      </c>
      <c r="C18" s="5" t="s">
        <v>12</v>
      </c>
      <c r="D18" s="6">
        <v>46226</v>
      </c>
      <c r="E18" s="5">
        <v>782976.68</v>
      </c>
      <c r="F18" s="5">
        <f>=E18-E17</f>
        <v>35460</v>
      </c>
      <c r="G18" s="5">
        <f>=F18/E17</f>
        <v>0.0474370685614668</v>
      </c>
      <c r="H18" s="5">
        <v>5666466.68</v>
      </c>
      <c r="I18" s="15">
        <f>=F18/H18</f>
        <v>0.00625786791002537</v>
      </c>
    </row>
    <row r="19" spans="1:9">
      <c r="A19" s="5" t="s">
        <v>10</v>
      </c>
      <c r="B19" s="5" t="s">
        <v>11</v>
      </c>
      <c r="C19" s="5" t="s">
        <v>12</v>
      </c>
      <c r="D19" s="6">
        <v>46227</v>
      </c>
      <c r="E19" s="5">
        <v>744006.68</v>
      </c>
      <c r="F19" s="5">
        <f>=E19-E18</f>
        <v>-38970</v>
      </c>
      <c r="G19" s="5">
        <f>=F19/E18</f>
        <v>-0.0497715972843534</v>
      </c>
      <c r="H19" s="5">
        <v>5666466.68</v>
      </c>
      <c r="I19" s="15">
        <f>=F19/H19</f>
        <v>-0.00687730153563702</v>
      </c>
    </row>
    <row r="20" spans="1:9">
      <c r="A20" s="5" t="s">
        <v>10</v>
      </c>
      <c r="B20" s="5" t="s">
        <v>11</v>
      </c>
      <c r="C20" s="5" t="s">
        <v>12</v>
      </c>
      <c r="D20" s="6">
        <v>46230</v>
      </c>
      <c r="E20" s="5">
        <v>761916.68</v>
      </c>
      <c r="F20" s="5">
        <f>=E20-E19</f>
        <v>17910</v>
      </c>
      <c r="G20" s="5">
        <f>=F20/E19</f>
        <v>0.0240723645115659</v>
      </c>
      <c r="H20" s="5">
        <v>5666466.68</v>
      </c>
      <c r="I20" s="15">
        <f>=F20/H20</f>
        <v>0.00316069978196713</v>
      </c>
    </row>
    <row r="21" spans="1:9">
      <c r="A21" s="5" t="s">
        <v>10</v>
      </c>
      <c r="B21" s="5" t="s">
        <v>11</v>
      </c>
      <c r="C21" s="5" t="s">
        <v>12</v>
      </c>
      <c r="D21" s="6">
        <v>46231</v>
      </c>
      <c r="E21" s="5">
        <v>753096.68</v>
      </c>
      <c r="F21" s="5">
        <f>=E21-E20</f>
        <v>-8820</v>
      </c>
      <c r="G21" s="5">
        <f>=F21/E20</f>
        <v>-0.0115760689213419</v>
      </c>
      <c r="H21" s="5">
        <v>5666466.68</v>
      </c>
      <c r="I21" s="15">
        <f>=F21/H21</f>
        <v>-0.00155652552076773</v>
      </c>
    </row>
    <row r="22" spans="1:9">
      <c r="A22" s="5" t="s">
        <v>10</v>
      </c>
      <c r="B22" s="5" t="s">
        <v>11</v>
      </c>
      <c r="C22" s="5" t="s">
        <v>12</v>
      </c>
      <c r="D22" s="6">
        <v>46232</v>
      </c>
      <c r="E22" s="5">
        <v>734016.68</v>
      </c>
      <c r="F22" s="5">
        <f>=E22-E21</f>
        <v>-19080</v>
      </c>
      <c r="G22" s="5">
        <f>=F22/E21</f>
        <v>-0.0253353925288849</v>
      </c>
      <c r="H22" s="5">
        <v>5666466.68</v>
      </c>
      <c r="I22" s="15">
        <f>=F22/H22</f>
        <v>-0.00336717765717101</v>
      </c>
    </row>
    <row r="23" spans="1:9">
      <c r="A23" s="5" t="s">
        <v>10</v>
      </c>
      <c r="B23" s="5" t="s">
        <v>11</v>
      </c>
      <c r="C23" s="5" t="s">
        <v>12</v>
      </c>
      <c r="D23" s="6">
        <v>46233</v>
      </c>
      <c r="E23" s="5">
        <v>714486.68</v>
      </c>
      <c r="F23" s="5">
        <f>=E23-E22</f>
        <v>-19530</v>
      </c>
      <c r="G23" s="5">
        <f>=F23/E22</f>
        <v>-0.026607024788592</v>
      </c>
      <c r="H23" s="5">
        <v>5666466.68</v>
      </c>
      <c r="I23" s="15">
        <f>=F23/H23</f>
        <v>-0.00344659222455712</v>
      </c>
    </row>
    <row r="24" spans="1:9">
      <c r="A24" s="5" t="s">
        <v>10</v>
      </c>
      <c r="B24" s="5" t="s">
        <v>11</v>
      </c>
      <c r="C24" s="5" t="s">
        <v>12</v>
      </c>
      <c r="D24" s="6">
        <v>46234</v>
      </c>
      <c r="E24" s="5">
        <v>721416.68</v>
      </c>
      <c r="F24" s="5">
        <f>=E24-E23</f>
        <v>6930</v>
      </c>
      <c r="G24" s="5">
        <f>=F24/E23</f>
        <v>0.0096992710906801</v>
      </c>
      <c r="H24" s="5">
        <v>5666466.68</v>
      </c>
      <c r="I24" s="15">
        <f>=F24/H24</f>
        <v>0.00122298433774608</v>
      </c>
    </row>
    <row r="25" spans="1:9">
      <c r="A25" s="7" t="s">
        <v>10</v>
      </c>
      <c r="B25" s="7" t="s">
        <v>11</v>
      </c>
      <c r="C25" s="7" t="s">
        <v>12</v>
      </c>
      <c r="D25" s="8">
        <v>46237</v>
      </c>
      <c r="E25" s="7">
        <v>767766.68</v>
      </c>
      <c r="F25" s="7">
        <f>=E25-E24</f>
        <v>46350</v>
      </c>
      <c r="G25" s="7">
        <f>=F25/E24</f>
        <v>0.0642485837726957</v>
      </c>
      <c r="H25" s="7">
        <v>5666466.68</v>
      </c>
      <c r="I25" s="16">
        <f>=F25/H25</f>
        <v>0.0081797004407692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I25"/>
  <sheetViews>
    <sheetView showGridLines="1" workbookViewId="0"/>
  </sheetViews>
  <sheetFormatPr baseColWidth="8" defaultRowHeight="15"/>
  <sheetData>
    <row r="1" spans="1:9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</row>
    <row r="2" spans="1:8">
      <c r="A2" s="5" t="s">
        <v>13</v>
      </c>
      <c r="B2" s="5" t="s">
        <v>14</v>
      </c>
      <c r="C2" s="5" t="s">
        <v>15</v>
      </c>
      <c r="D2" s="6">
        <v>46204</v>
      </c>
      <c r="E2" s="5">
        <v>655491.66</v>
      </c>
      <c r="H2" s="5">
        <v>4081881.66</v>
      </c>
    </row>
    <row r="3" spans="1:9">
      <c r="A3" s="5" t="s">
        <v>13</v>
      </c>
      <c r="B3" s="5" t="s">
        <v>14</v>
      </c>
      <c r="C3" s="5" t="s">
        <v>15</v>
      </c>
      <c r="D3" s="6">
        <v>46205</v>
      </c>
      <c r="E3" s="5">
        <v>631911.66</v>
      </c>
      <c r="F3" s="5">
        <f>=E3-E2</f>
        <v>-23580</v>
      </c>
      <c r="G3" s="5">
        <f>=F3/E2</f>
        <v>-0.0359729977342504</v>
      </c>
      <c r="H3" s="5">
        <v>4081881.66</v>
      </c>
      <c r="I3" s="5">
        <f>=F3/H3</f>
        <v>-0.00577674757969343</v>
      </c>
    </row>
    <row r="4" spans="1:9">
      <c r="A4" s="5" t="s">
        <v>13</v>
      </c>
      <c r="B4" s="5" t="s">
        <v>14</v>
      </c>
      <c r="C4" s="5" t="s">
        <v>15</v>
      </c>
      <c r="D4" s="6">
        <v>46206</v>
      </c>
      <c r="E4" s="5">
        <v>542811.66</v>
      </c>
      <c r="F4" s="5">
        <f>=E4-E3</f>
        <v>-89100</v>
      </c>
      <c r="G4" s="5">
        <f>=F4/E3</f>
        <v>-0.141000721524904</v>
      </c>
      <c r="H4" s="5">
        <v>4081881.66</v>
      </c>
      <c r="I4" s="5">
        <f>=F4/H4</f>
        <v>-0.0218281683354828</v>
      </c>
    </row>
    <row r="5" spans="1:9">
      <c r="A5" s="5" t="s">
        <v>13</v>
      </c>
      <c r="B5" s="5" t="s">
        <v>14</v>
      </c>
      <c r="C5" s="5" t="s">
        <v>15</v>
      </c>
      <c r="D5" s="6">
        <v>46209</v>
      </c>
      <c r="E5" s="5">
        <v>536151.66</v>
      </c>
      <c r="F5" s="5">
        <f>=E5-E4</f>
        <v>-6660</v>
      </c>
      <c r="G5" s="5">
        <f>=F5/E4</f>
        <v>-0.0122694490387329</v>
      </c>
      <c r="H5" s="5">
        <v>4081881.66</v>
      </c>
      <c r="I5" s="5">
        <f>=F5/H5</f>
        <v>-0.00163160046144013</v>
      </c>
    </row>
    <row r="6" spans="1:9">
      <c r="A6" s="5" t="s">
        <v>13</v>
      </c>
      <c r="B6" s="5" t="s">
        <v>14</v>
      </c>
      <c r="C6" s="5" t="s">
        <v>15</v>
      </c>
      <c r="D6" s="6">
        <v>46210</v>
      </c>
      <c r="E6" s="5">
        <v>535611.66</v>
      </c>
      <c r="F6" s="5">
        <f>=E6-E5</f>
        <v>-540</v>
      </c>
      <c r="G6" s="5">
        <f>=F6/E5</f>
        <v>-0.00100717770788959</v>
      </c>
      <c r="H6" s="5">
        <v>4081881.66</v>
      </c>
      <c r="I6" s="5">
        <f>=F6/H6</f>
        <v>-0.000132291929305956</v>
      </c>
    </row>
    <row r="7" spans="1:9">
      <c r="A7" s="5" t="s">
        <v>13</v>
      </c>
      <c r="B7" s="5" t="s">
        <v>14</v>
      </c>
      <c r="C7" s="5" t="s">
        <v>15</v>
      </c>
      <c r="D7" s="6">
        <v>46211</v>
      </c>
      <c r="E7" s="5">
        <v>536871.66</v>
      </c>
      <c r="F7" s="5">
        <f>=E7-E6</f>
        <v>1260</v>
      </c>
      <c r="G7" s="5">
        <f>=F7/E6</f>
        <v>0.00235245065426694</v>
      </c>
      <c r="H7" s="5">
        <v>4081881.66</v>
      </c>
      <c r="I7" s="5">
        <f>=F7/H7</f>
        <v>0.000308681168380565</v>
      </c>
    </row>
    <row r="8" spans="1:9">
      <c r="A8" s="5" t="s">
        <v>13</v>
      </c>
      <c r="B8" s="5" t="s">
        <v>14</v>
      </c>
      <c r="C8" s="5" t="s">
        <v>15</v>
      </c>
      <c r="D8" s="6">
        <v>46212</v>
      </c>
      <c r="E8" s="5">
        <v>534351.66</v>
      </c>
      <c r="F8" s="5">
        <f>=E8-E7</f>
        <v>-2520</v>
      </c>
      <c r="G8" s="5">
        <f>=F8/E7</f>
        <v>-0.0046938592363024</v>
      </c>
      <c r="H8" s="5">
        <v>4081881.66</v>
      </c>
      <c r="I8" s="5">
        <f>=F8/H8</f>
        <v>-0.00061736233676113</v>
      </c>
    </row>
    <row r="9" spans="1:9">
      <c r="A9" s="5" t="s">
        <v>13</v>
      </c>
      <c r="B9" s="5" t="s">
        <v>14</v>
      </c>
      <c r="C9" s="5" t="s">
        <v>15</v>
      </c>
      <c r="D9" s="6">
        <v>46213</v>
      </c>
      <c r="E9" s="5">
        <v>538041.66</v>
      </c>
      <c r="F9" s="5">
        <f>=E9-E8</f>
        <v>3690</v>
      </c>
      <c r="G9" s="5">
        <f>=F9/E8</f>
        <v>0.00690556477358001</v>
      </c>
      <c r="H9" s="5">
        <v>4081881.66</v>
      </c>
      <c r="I9" s="5">
        <f>=F9/H9</f>
        <v>0.000903994850257369</v>
      </c>
    </row>
    <row r="10" spans="1:9">
      <c r="A10" s="5" t="s">
        <v>13</v>
      </c>
      <c r="B10" s="5" t="s">
        <v>14</v>
      </c>
      <c r="C10" s="5" t="s">
        <v>15</v>
      </c>
      <c r="D10" s="6">
        <v>46216</v>
      </c>
      <c r="E10" s="5">
        <v>560991.66</v>
      </c>
      <c r="F10" s="5">
        <f>=E10-E9</f>
        <v>22950</v>
      </c>
      <c r="G10" s="5">
        <f>=F10/E9</f>
        <v>0.042654689601545</v>
      </c>
      <c r="H10" s="5">
        <v>4081881.66</v>
      </c>
      <c r="I10" s="5">
        <f>=F10/H10</f>
        <v>0.00562240699550315</v>
      </c>
    </row>
    <row r="11" spans="1:9">
      <c r="A11" s="5" t="s">
        <v>13</v>
      </c>
      <c r="B11" s="5" t="s">
        <v>14</v>
      </c>
      <c r="C11" s="5" t="s">
        <v>15</v>
      </c>
      <c r="D11" s="6">
        <v>46217</v>
      </c>
      <c r="E11" s="5">
        <v>561441.66</v>
      </c>
      <c r="F11" s="5">
        <f>=E11-E10</f>
        <v>450</v>
      </c>
      <c r="G11" s="5">
        <f>=F11/E10</f>
        <v>0.000802150962458159</v>
      </c>
      <c r="H11" s="5">
        <v>4081881.66</v>
      </c>
      <c r="I11" s="5">
        <f>=F11/H11</f>
        <v>0.00011024327442163</v>
      </c>
    </row>
    <row r="12" spans="1:9">
      <c r="A12" s="5" t="s">
        <v>13</v>
      </c>
      <c r="B12" s="5" t="s">
        <v>14</v>
      </c>
      <c r="C12" s="5" t="s">
        <v>15</v>
      </c>
      <c r="D12" s="6">
        <v>46218</v>
      </c>
      <c r="E12" s="5">
        <v>556941.66</v>
      </c>
      <c r="F12" s="5">
        <f>=E12-E11</f>
        <v>-4500</v>
      </c>
      <c r="G12" s="5">
        <f>=F12/E11</f>
        <v>-0.00801508032018857</v>
      </c>
      <c r="H12" s="5">
        <v>4081881.66</v>
      </c>
      <c r="I12" s="5">
        <f>=F12/H12</f>
        <v>-0.0011024327442163</v>
      </c>
    </row>
    <row r="13" spans="1:9">
      <c r="A13" s="5" t="s">
        <v>13</v>
      </c>
      <c r="B13" s="5" t="s">
        <v>14</v>
      </c>
      <c r="C13" s="5" t="s">
        <v>15</v>
      </c>
      <c r="D13" s="6">
        <v>46219</v>
      </c>
      <c r="E13" s="5">
        <v>568371.66</v>
      </c>
      <c r="F13" s="5">
        <f>=E13-E12</f>
        <v>11430</v>
      </c>
      <c r="G13" s="5">
        <f>=F13/E12</f>
        <v>0.0205227958705765</v>
      </c>
      <c r="H13" s="5">
        <v>4081881.66</v>
      </c>
      <c r="I13" s="5">
        <f>=F13/H13</f>
        <v>0.00280017917030941</v>
      </c>
    </row>
    <row r="14" spans="1:9">
      <c r="A14" s="5" t="s">
        <v>13</v>
      </c>
      <c r="B14" s="5" t="s">
        <v>14</v>
      </c>
      <c r="C14" s="5" t="s">
        <v>15</v>
      </c>
      <c r="D14" s="6">
        <v>46220</v>
      </c>
      <c r="E14" s="5">
        <v>623901.66</v>
      </c>
      <c r="F14" s="5">
        <f>=E14-E13</f>
        <v>55530</v>
      </c>
      <c r="G14" s="5">
        <f>=F14/E13</f>
        <v>0.0977001562674677</v>
      </c>
      <c r="H14" s="5">
        <v>4081881.66</v>
      </c>
      <c r="I14" s="5">
        <f>=F14/H14</f>
        <v>0.0136040200636292</v>
      </c>
    </row>
    <row r="15" spans="1:9">
      <c r="A15" s="5" t="s">
        <v>13</v>
      </c>
      <c r="B15" s="5" t="s">
        <v>14</v>
      </c>
      <c r="C15" s="5" t="s">
        <v>15</v>
      </c>
      <c r="D15" s="6">
        <v>46223</v>
      </c>
      <c r="E15" s="5">
        <v>637401.66</v>
      </c>
      <c r="F15" s="5">
        <f>=E15-E14</f>
        <v>13500</v>
      </c>
      <c r="G15" s="5">
        <f>=F15/E14</f>
        <v>0.0216380254542038</v>
      </c>
      <c r="H15" s="5">
        <v>4081881.66</v>
      </c>
      <c r="I15" s="5">
        <f>=F15/H15</f>
        <v>0.00330729823264891</v>
      </c>
    </row>
    <row r="16" spans="1:9">
      <c r="A16" s="5" t="s">
        <v>13</v>
      </c>
      <c r="B16" s="5" t="s">
        <v>14</v>
      </c>
      <c r="C16" s="5" t="s">
        <v>15</v>
      </c>
      <c r="D16" s="6">
        <v>46224</v>
      </c>
      <c r="E16" s="5">
        <v>619491.66</v>
      </c>
      <c r="F16" s="5">
        <f>=E16-E15</f>
        <v>-17910</v>
      </c>
      <c r="G16" s="5">
        <f>=F16/E15</f>
        <v>-0.0280984520812199</v>
      </c>
      <c r="H16" s="5">
        <v>4081881.66</v>
      </c>
      <c r="I16" s="5">
        <f>=F16/H16</f>
        <v>-0.00438768232198089</v>
      </c>
    </row>
    <row r="17" spans="1:9">
      <c r="A17" s="5" t="s">
        <v>13</v>
      </c>
      <c r="B17" s="5" t="s">
        <v>14</v>
      </c>
      <c r="C17" s="5" t="s">
        <v>15</v>
      </c>
      <c r="D17" s="6">
        <v>46225</v>
      </c>
      <c r="E17" s="5">
        <v>618231.66</v>
      </c>
      <c r="F17" s="5">
        <f>=E17-E16</f>
        <v>-1260</v>
      </c>
      <c r="G17" s="5">
        <f>=F17/E16</f>
        <v>-0.00203392568674774</v>
      </c>
      <c r="H17" s="5">
        <v>4081881.66</v>
      </c>
      <c r="I17" s="5">
        <f>=F17/H17</f>
        <v>-0.000308681168380565</v>
      </c>
    </row>
    <row r="18" spans="1:9">
      <c r="A18" s="5" t="s">
        <v>13</v>
      </c>
      <c r="B18" s="5" t="s">
        <v>14</v>
      </c>
      <c r="C18" s="5" t="s">
        <v>15</v>
      </c>
      <c r="D18" s="6">
        <v>46226</v>
      </c>
      <c r="E18" s="5">
        <v>619221.66</v>
      </c>
      <c r="F18" s="5">
        <f>=E18-E17</f>
        <v>990</v>
      </c>
      <c r="G18" s="5">
        <f>=F18/E17</f>
        <v>0.00160134147772374</v>
      </c>
      <c r="H18" s="5">
        <v>4081881.66</v>
      </c>
      <c r="I18" s="5">
        <f>=F18/H18</f>
        <v>0.000242535203727587</v>
      </c>
    </row>
    <row r="19" spans="1:9">
      <c r="A19" s="5" t="s">
        <v>13</v>
      </c>
      <c r="B19" s="5" t="s">
        <v>14</v>
      </c>
      <c r="C19" s="5" t="s">
        <v>15</v>
      </c>
      <c r="D19" s="6">
        <v>46227</v>
      </c>
      <c r="E19" s="5">
        <v>624441.66</v>
      </c>
      <c r="F19" s="5">
        <f>=E19-E18</f>
        <v>5220</v>
      </c>
      <c r="G19" s="5">
        <f>=F19/E18</f>
        <v>0.00842993767369184</v>
      </c>
      <c r="H19" s="5">
        <v>4081881.66</v>
      </c>
      <c r="I19" s="5">
        <f>=F19/H19</f>
        <v>0.00127882198329091</v>
      </c>
    </row>
    <row r="20" spans="1:9">
      <c r="A20" s="5" t="s">
        <v>13</v>
      </c>
      <c r="B20" s="5" t="s">
        <v>14</v>
      </c>
      <c r="C20" s="5" t="s">
        <v>15</v>
      </c>
      <c r="D20" s="6">
        <v>46230</v>
      </c>
      <c r="E20" s="5">
        <v>629031.66</v>
      </c>
      <c r="F20" s="5">
        <f>=E20-E19</f>
        <v>4590</v>
      </c>
      <c r="G20" s="5">
        <f>=F20/E19</f>
        <v>0.00735056658455491</v>
      </c>
      <c r="H20" s="5">
        <v>4081881.66</v>
      </c>
      <c r="I20" s="5">
        <f>=F20/H20</f>
        <v>0.00112448139910063</v>
      </c>
    </row>
    <row r="21" spans="1:9">
      <c r="A21" s="5" t="s">
        <v>13</v>
      </c>
      <c r="B21" s="5" t="s">
        <v>14</v>
      </c>
      <c r="C21" s="5" t="s">
        <v>15</v>
      </c>
      <c r="D21" s="6">
        <v>46231</v>
      </c>
      <c r="E21" s="5">
        <v>633531.66</v>
      </c>
      <c r="F21" s="5">
        <f>=E21-E20</f>
        <v>4500</v>
      </c>
      <c r="G21" s="5">
        <f>=F21/E20</f>
        <v>0.00715385295550943</v>
      </c>
      <c r="H21" s="5">
        <v>4081881.66</v>
      </c>
      <c r="I21" s="5">
        <f>=F21/H21</f>
        <v>0.0011024327442163</v>
      </c>
    </row>
    <row r="22" spans="1:9">
      <c r="A22" s="5" t="s">
        <v>13</v>
      </c>
      <c r="B22" s="5" t="s">
        <v>14</v>
      </c>
      <c r="C22" s="5" t="s">
        <v>15</v>
      </c>
      <c r="D22" s="6">
        <v>46232</v>
      </c>
      <c r="E22" s="5">
        <v>642441.66</v>
      </c>
      <c r="F22" s="5">
        <f>=E22-E21</f>
        <v>8910</v>
      </c>
      <c r="G22" s="5">
        <f>=F22/E21</f>
        <v>0.0140640169427365</v>
      </c>
      <c r="H22" s="5">
        <v>4081881.66</v>
      </c>
      <c r="I22" s="5">
        <f>=F22/H22</f>
        <v>0.00218281683354828</v>
      </c>
    </row>
    <row r="23" spans="1:9">
      <c r="A23" s="5" t="s">
        <v>13</v>
      </c>
      <c r="B23" s="5" t="s">
        <v>14</v>
      </c>
      <c r="C23" s="5" t="s">
        <v>15</v>
      </c>
      <c r="D23" s="6">
        <v>46233</v>
      </c>
      <c r="E23" s="5">
        <v>654411.66</v>
      </c>
      <c r="F23" s="5">
        <f>=E23-E22</f>
        <v>11970</v>
      </c>
      <c r="G23" s="5">
        <f>=F23/E22</f>
        <v>0.0186320420129666</v>
      </c>
      <c r="H23" s="5">
        <v>4081881.66</v>
      </c>
      <c r="I23" s="5">
        <f>=F23/H23</f>
        <v>0.00293247109961537</v>
      </c>
    </row>
    <row r="24" spans="1:9">
      <c r="A24" s="5" t="s">
        <v>13</v>
      </c>
      <c r="B24" s="5" t="s">
        <v>14</v>
      </c>
      <c r="C24" s="5" t="s">
        <v>15</v>
      </c>
      <c r="D24" s="6">
        <v>46234</v>
      </c>
      <c r="E24" s="5">
        <v>660891.66</v>
      </c>
      <c r="F24" s="5">
        <f>=E24-E23</f>
        <v>6480</v>
      </c>
      <c r="G24" s="5">
        <f>=F24/E23</f>
        <v>0.00990202405623396</v>
      </c>
      <c r="H24" s="5">
        <v>4081881.66</v>
      </c>
      <c r="I24" s="5">
        <f>=F24/H24</f>
        <v>0.00158750315167148</v>
      </c>
    </row>
    <row r="25" spans="1:9">
      <c r="A25" s="7" t="s">
        <v>13</v>
      </c>
      <c r="B25" s="7" t="s">
        <v>14</v>
      </c>
      <c r="C25" s="7" t="s">
        <v>15</v>
      </c>
      <c r="D25" s="8">
        <v>46237</v>
      </c>
      <c r="E25" s="7">
        <v>670521.66</v>
      </c>
      <c r="F25" s="7">
        <f>=E25-E24</f>
        <v>9630</v>
      </c>
      <c r="G25" s="7">
        <f>=F25/E24</f>
        <v>0.0145712233681387</v>
      </c>
      <c r="H25" s="7">
        <v>4081881.66</v>
      </c>
      <c r="I25" s="7">
        <f>=F25/H25</f>
        <v>0.00235920607262289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I25"/>
  <sheetViews>
    <sheetView showGridLines="1" workbookViewId="0"/>
  </sheetViews>
  <sheetFormatPr baseColWidth="8" defaultRowHeight="15"/>
  <cols>
    <col min="1" max="1" width="6.49219" style="18" customWidth="1"/>
    <col min="2" max="2" width="6.78125" style="18" customWidth="1"/>
    <col min="3" max="3" width="16.7617" style="18" customWidth="1"/>
    <col min="4" max="4" width="16.4922" style="18" customWidth="1"/>
    <col min="5" max="5" width="19.082" style="18" customWidth="1"/>
    <col min="6" max="6" width="8.29297" style="18" customWidth="1"/>
    <col min="7" max="7" width="11.8906" style="17" customWidth="1"/>
    <col min="8" max="8" width="10.0898" style="18" customWidth="1"/>
    <col min="9" max="9" width="15.4922" style="18" customWidth="1"/>
  </cols>
  <sheetData>
    <row r="1" spans="1:9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9" t="s">
        <v>7</v>
      </c>
      <c r="H1" s="4" t="s">
        <v>8</v>
      </c>
      <c r="I1" s="4" t="s">
        <v>9</v>
      </c>
    </row>
    <row r="2" spans="1:9">
      <c r="A2" s="5" t="s">
        <v>10</v>
      </c>
      <c r="B2" s="5" t="s">
        <v>16</v>
      </c>
      <c r="C2" s="5" t="s">
        <v>17</v>
      </c>
      <c r="D2" s="6">
        <v>46204</v>
      </c>
      <c r="E2" s="5">
        <v>1839558.77</v>
      </c>
      <c r="H2" s="5">
        <v>8882958.77</v>
      </c>
      <c r="I2" s="10" t="s"/>
    </row>
    <row r="3" spans="1:9">
      <c r="A3" s="5" t="s">
        <v>10</v>
      </c>
      <c r="B3" s="5" t="s">
        <v>16</v>
      </c>
      <c r="C3" s="5" t="s">
        <v>17</v>
      </c>
      <c r="D3" s="6">
        <v>46205</v>
      </c>
      <c r="E3" s="5">
        <v>1853238.77</v>
      </c>
      <c r="F3" s="5">
        <f>=E3-E2</f>
        <v>13680</v>
      </c>
      <c r="G3" s="10">
        <f>=F3/E2</f>
        <v>0.00743656588911264</v>
      </c>
      <c r="H3" s="5">
        <v>8882958.77</v>
      </c>
      <c r="I3" s="10">
        <f>=F3/H3</f>
        <v>0.00154002741138469</v>
      </c>
    </row>
    <row r="4" spans="1:9">
      <c r="A4" s="5" t="s">
        <v>10</v>
      </c>
      <c r="B4" s="5" t="s">
        <v>16</v>
      </c>
      <c r="C4" s="5" t="s">
        <v>17</v>
      </c>
      <c r="D4" s="6">
        <v>46206</v>
      </c>
      <c r="E4" s="5">
        <v>1706988.77</v>
      </c>
      <c r="F4" s="5">
        <f>=E4-E3</f>
        <v>-146250</v>
      </c>
      <c r="G4" s="10">
        <f>=F4/E3</f>
        <v>-0.078915897059503</v>
      </c>
      <c r="H4" s="5">
        <v>8882958.77</v>
      </c>
      <c r="I4" s="10">
        <f>=F4/H4</f>
        <v>-0.0164641088388166</v>
      </c>
    </row>
    <row r="5" spans="1:9">
      <c r="A5" s="5" t="s">
        <v>10</v>
      </c>
      <c r="B5" s="5" t="s">
        <v>16</v>
      </c>
      <c r="C5" s="5" t="s">
        <v>17</v>
      </c>
      <c r="D5" s="6">
        <v>46209</v>
      </c>
      <c r="E5" s="5">
        <v>1682148.77</v>
      </c>
      <c r="F5" s="5">
        <f>=E5-E4</f>
        <v>-24840</v>
      </c>
      <c r="G5" s="10">
        <f>=F5/E4</f>
        <v>-0.0145519410769176</v>
      </c>
      <c r="H5" s="5">
        <v>8882958.77</v>
      </c>
      <c r="I5" s="10">
        <f>=F5/H5</f>
        <v>-0.00279636556277746</v>
      </c>
    </row>
    <row r="6" spans="1:9">
      <c r="A6" s="5" t="s">
        <v>10</v>
      </c>
      <c r="B6" s="5" t="s">
        <v>16</v>
      </c>
      <c r="C6" s="5" t="s">
        <v>17</v>
      </c>
      <c r="D6" s="6">
        <v>46210</v>
      </c>
      <c r="E6" s="5">
        <v>1709418.77</v>
      </c>
      <c r="F6" s="5">
        <f>=E6-E5</f>
        <v>27270</v>
      </c>
      <c r="G6" s="10">
        <f>=F6/E5</f>
        <v>0.0162114079838491</v>
      </c>
      <c r="H6" s="5">
        <v>8882958.77</v>
      </c>
      <c r="I6" s="10">
        <f>=F6/H6</f>
        <v>0.00306992306348395</v>
      </c>
    </row>
    <row r="7" spans="1:9">
      <c r="A7" s="5" t="s">
        <v>10</v>
      </c>
      <c r="B7" s="5" t="s">
        <v>16</v>
      </c>
      <c r="C7" s="5" t="s">
        <v>17</v>
      </c>
      <c r="D7" s="6">
        <v>46211</v>
      </c>
      <c r="E7" s="5">
        <v>1720308.77</v>
      </c>
      <c r="F7" s="5">
        <f>=E7-E6</f>
        <v>10890</v>
      </c>
      <c r="G7" s="10">
        <f>=F7/E6</f>
        <v>0.00637058641868078</v>
      </c>
      <c r="H7" s="5">
        <v>8882958.77</v>
      </c>
      <c r="I7" s="10">
        <f>=F7/H7</f>
        <v>0.00122594287353649</v>
      </c>
    </row>
    <row r="8" spans="1:9">
      <c r="A8" s="5" t="s">
        <v>10</v>
      </c>
      <c r="B8" s="5" t="s">
        <v>16</v>
      </c>
      <c r="C8" s="5" t="s">
        <v>17</v>
      </c>
      <c r="D8" s="6">
        <v>46212</v>
      </c>
      <c r="E8" s="5">
        <v>1721478.77</v>
      </c>
      <c r="F8" s="5">
        <f>=E8-E7</f>
        <v>1170</v>
      </c>
      <c r="G8" s="10">
        <f>=F8/E7</f>
        <v>0.000680110466448416</v>
      </c>
      <c r="H8" s="5">
        <v>8882958.77</v>
      </c>
      <c r="I8" s="10">
        <f>=F8/H8</f>
        <v>0.000131712870710532</v>
      </c>
    </row>
    <row r="9" spans="1:9">
      <c r="A9" s="5" t="s">
        <v>10</v>
      </c>
      <c r="B9" s="5" t="s">
        <v>16</v>
      </c>
      <c r="C9" s="5" t="s">
        <v>17</v>
      </c>
      <c r="D9" s="6">
        <v>46213</v>
      </c>
      <c r="E9" s="5">
        <v>1715718.77</v>
      </c>
      <c r="F9" s="5">
        <f>=E9-E8</f>
        <v>-5760</v>
      </c>
      <c r="G9" s="10">
        <f>=F9/E8</f>
        <v>-0.00334596051974548</v>
      </c>
      <c r="H9" s="5">
        <v>8882958.77</v>
      </c>
      <c r="I9" s="10">
        <f>=F9/H9</f>
        <v>-0.000648432594267237</v>
      </c>
    </row>
    <row r="10" spans="1:9">
      <c r="A10" s="5" t="s">
        <v>10</v>
      </c>
      <c r="B10" s="5" t="s">
        <v>16</v>
      </c>
      <c r="C10" s="5" t="s">
        <v>17</v>
      </c>
      <c r="D10" s="6">
        <v>46216</v>
      </c>
      <c r="E10" s="5">
        <v>1832088.77</v>
      </c>
      <c r="F10" s="5">
        <f>=E10-E9</f>
        <v>116370</v>
      </c>
      <c r="G10" s="10">
        <f>=F10/E9</f>
        <v>0.0678258010781103</v>
      </c>
      <c r="H10" s="5">
        <v>8882958.77</v>
      </c>
      <c r="I10" s="10">
        <f>=F10/H10</f>
        <v>0.0131003647560553</v>
      </c>
    </row>
    <row r="11" spans="1:9">
      <c r="A11" s="5" t="s">
        <v>10</v>
      </c>
      <c r="B11" s="5" t="s">
        <v>16</v>
      </c>
      <c r="C11" s="5" t="s">
        <v>17</v>
      </c>
      <c r="D11" s="6">
        <v>46217</v>
      </c>
      <c r="E11" s="5">
        <v>1848198.77</v>
      </c>
      <c r="F11" s="5">
        <f>=E11-E10</f>
        <v>16110</v>
      </c>
      <c r="G11" s="10">
        <f>=F11/E10</f>
        <v>0.00879324204361561</v>
      </c>
      <c r="H11" s="5">
        <v>8882958.77</v>
      </c>
      <c r="I11" s="10">
        <f>=F11/H11</f>
        <v>0.00181358491209118</v>
      </c>
    </row>
    <row r="12" spans="1:9">
      <c r="A12" s="5" t="s">
        <v>10</v>
      </c>
      <c r="B12" s="5" t="s">
        <v>16</v>
      </c>
      <c r="C12" s="5" t="s">
        <v>17</v>
      </c>
      <c r="D12" s="6">
        <v>46218</v>
      </c>
      <c r="E12" s="5">
        <v>1839558.77</v>
      </c>
      <c r="F12" s="5">
        <f>=E12-E11</f>
        <v>-8640</v>
      </c>
      <c r="G12" s="10">
        <f>=F12/E11</f>
        <v>-0.0046748218537122</v>
      </c>
      <c r="H12" s="5">
        <v>8882958.77</v>
      </c>
      <c r="I12" s="10">
        <f>=F12/H12</f>
        <v>-0.000972648891400855</v>
      </c>
    </row>
    <row r="13" spans="1:9">
      <c r="A13" s="5" t="s">
        <v>10</v>
      </c>
      <c r="B13" s="5" t="s">
        <v>16</v>
      </c>
      <c r="C13" s="5" t="s">
        <v>17</v>
      </c>
      <c r="D13" s="6">
        <v>46219</v>
      </c>
      <c r="E13" s="5">
        <v>1970148.77</v>
      </c>
      <c r="F13" s="5">
        <f>=E13-E12</f>
        <v>130590</v>
      </c>
      <c r="G13" s="10">
        <f>=F13/E12</f>
        <v>0.070989849375674</v>
      </c>
      <c r="H13" s="5">
        <v>8882958.77</v>
      </c>
      <c r="I13" s="10">
        <f>=F13/H13</f>
        <v>0.0147011827231525</v>
      </c>
    </row>
    <row r="14" spans="1:9">
      <c r="A14" s="5" t="s">
        <v>10</v>
      </c>
      <c r="B14" s="5" t="s">
        <v>16</v>
      </c>
      <c r="C14" s="5" t="s">
        <v>17</v>
      </c>
      <c r="D14" s="6">
        <v>46220</v>
      </c>
      <c r="E14" s="5">
        <v>2171658.77</v>
      </c>
      <c r="F14" s="5">
        <f>=E14-E13</f>
        <v>201510</v>
      </c>
      <c r="G14" s="10">
        <f>=F14/E13</f>
        <v>0.102281616022327</v>
      </c>
      <c r="H14" s="5">
        <v>8882958.77</v>
      </c>
      <c r="I14" s="10">
        <f>=F14/H14</f>
        <v>0.0226850090400679</v>
      </c>
    </row>
    <row r="15" spans="1:9">
      <c r="A15" s="5" t="s">
        <v>10</v>
      </c>
      <c r="B15" s="5" t="s">
        <v>16</v>
      </c>
      <c r="C15" s="5" t="s">
        <v>17</v>
      </c>
      <c r="D15" s="6">
        <v>46223</v>
      </c>
      <c r="E15" s="5">
        <v>2442198.77</v>
      </c>
      <c r="F15" s="5">
        <f>=E15-E14</f>
        <v>270540</v>
      </c>
      <c r="G15" s="10">
        <f>=F15/E14</f>
        <v>0.124577582692699</v>
      </c>
      <c r="H15" s="5">
        <v>8882958.77</v>
      </c>
      <c r="I15" s="10">
        <f>=F15/H15</f>
        <v>0.0304560684119893</v>
      </c>
    </row>
    <row r="16" spans="1:9">
      <c r="A16" s="5" t="s">
        <v>10</v>
      </c>
      <c r="B16" s="5" t="s">
        <v>16</v>
      </c>
      <c r="C16" s="5" t="s">
        <v>17</v>
      </c>
      <c r="D16" s="6">
        <v>46224</v>
      </c>
      <c r="E16" s="5">
        <v>2435718.77</v>
      </c>
      <c r="F16" s="5">
        <f>=E16-E15</f>
        <v>-6480</v>
      </c>
      <c r="G16" s="10">
        <f>=F16/E15</f>
        <v>-0.00265334668070445</v>
      </c>
      <c r="H16" s="5">
        <v>8882958.77</v>
      </c>
      <c r="I16" s="10">
        <f>=F16/H16</f>
        <v>-0.000729486668550641</v>
      </c>
    </row>
    <row r="17" spans="1:9">
      <c r="A17" s="5" t="s">
        <v>10</v>
      </c>
      <c r="B17" s="5" t="s">
        <v>16</v>
      </c>
      <c r="C17" s="5" t="s">
        <v>17</v>
      </c>
      <c r="D17" s="6">
        <v>46225</v>
      </c>
      <c r="E17" s="5">
        <v>2404488.77</v>
      </c>
      <c r="F17" s="5">
        <f>=E17-E16</f>
        <v>-31230</v>
      </c>
      <c r="G17" s="10">
        <f>=F17/E16</f>
        <v>-0.0128216772743431</v>
      </c>
      <c r="H17" s="5">
        <v>8882958.77</v>
      </c>
      <c r="I17" s="10">
        <f>=F17/H17</f>
        <v>-0.00351572047204267</v>
      </c>
    </row>
    <row r="18" spans="1:9">
      <c r="A18" s="5" t="s">
        <v>10</v>
      </c>
      <c r="B18" s="5" t="s">
        <v>16</v>
      </c>
      <c r="C18" s="5" t="s">
        <v>17</v>
      </c>
      <c r="D18" s="6">
        <v>46226</v>
      </c>
      <c r="E18" s="5">
        <v>2402688.77</v>
      </c>
      <c r="F18" s="5">
        <f>=E18-E17</f>
        <v>-1800</v>
      </c>
      <c r="G18" s="10">
        <f>=F18/E17</f>
        <v>-0.000748599878052248</v>
      </c>
      <c r="H18" s="5">
        <v>8882958.77</v>
      </c>
      <c r="I18" s="10">
        <f>=F18/H18</f>
        <v>-0.000202635185708511</v>
      </c>
    </row>
    <row r="19" spans="1:9">
      <c r="A19" s="5" t="s">
        <v>10</v>
      </c>
      <c r="B19" s="5" t="s">
        <v>16</v>
      </c>
      <c r="C19" s="5" t="s">
        <v>17</v>
      </c>
      <c r="D19" s="6">
        <v>46227</v>
      </c>
      <c r="E19" s="5">
        <v>2438058.77</v>
      </c>
      <c r="F19" s="5">
        <f>=E19-E18</f>
        <v>35370</v>
      </c>
      <c r="G19" s="10">
        <f>=F19/E18</f>
        <v>0.0147210077483319</v>
      </c>
      <c r="H19" s="5">
        <v>8882958.77</v>
      </c>
      <c r="I19" s="10">
        <f>=F19/H19</f>
        <v>0.00398178139917225</v>
      </c>
    </row>
    <row r="20" spans="1:9">
      <c r="A20" s="5" t="s">
        <v>10</v>
      </c>
      <c r="B20" s="5" t="s">
        <v>16</v>
      </c>
      <c r="C20" s="5" t="s">
        <v>17</v>
      </c>
      <c r="D20" s="6">
        <v>46230</v>
      </c>
      <c r="E20" s="5">
        <v>2464158.77</v>
      </c>
      <c r="F20" s="5">
        <f>=E20-E19</f>
        <v>26100</v>
      </c>
      <c r="G20" s="10">
        <f>=F20/E19</f>
        <v>0.0107052382498556</v>
      </c>
      <c r="H20" s="5">
        <v>8882958.77</v>
      </c>
      <c r="I20" s="10">
        <f>=F20/H20</f>
        <v>0.00293821019277342</v>
      </c>
    </row>
    <row r="21" spans="1:9">
      <c r="A21" s="5" t="s">
        <v>10</v>
      </c>
      <c r="B21" s="5" t="s">
        <v>16</v>
      </c>
      <c r="C21" s="5" t="s">
        <v>17</v>
      </c>
      <c r="D21" s="6">
        <v>46231</v>
      </c>
      <c r="E21" s="5">
        <v>2533458.77</v>
      </c>
      <c r="F21" s="5">
        <f>=E21-E20</f>
        <v>69300</v>
      </c>
      <c r="G21" s="10">
        <f>=F21/E20</f>
        <v>0.0281231878577369</v>
      </c>
      <c r="H21" s="5">
        <v>8882958.77</v>
      </c>
      <c r="I21" s="10">
        <f>=F21/H21</f>
        <v>0.00780145464977769</v>
      </c>
    </row>
    <row r="22" spans="1:9">
      <c r="A22" s="5" t="s">
        <v>10</v>
      </c>
      <c r="B22" s="5" t="s">
        <v>16</v>
      </c>
      <c r="C22" s="5" t="s">
        <v>17</v>
      </c>
      <c r="D22" s="6">
        <v>46232</v>
      </c>
      <c r="E22" s="5">
        <v>2594748.77</v>
      </c>
      <c r="F22" s="5">
        <f>=E22-E21</f>
        <v>61290</v>
      </c>
      <c r="G22" s="10">
        <f>=F22/E21</f>
        <v>0.0241922231874332</v>
      </c>
      <c r="H22" s="5">
        <v>8882958.77</v>
      </c>
      <c r="I22" s="10">
        <f>=F22/H22</f>
        <v>0.00689972807337481</v>
      </c>
    </row>
    <row r="23" spans="1:9">
      <c r="A23" s="5" t="s">
        <v>10</v>
      </c>
      <c r="B23" s="5" t="s">
        <v>16</v>
      </c>
      <c r="C23" s="5" t="s">
        <v>17</v>
      </c>
      <c r="D23" s="6">
        <v>46233</v>
      </c>
      <c r="E23" s="5">
        <v>2648388.77</v>
      </c>
      <c r="F23" s="5">
        <f>=E23-E22</f>
        <v>53640</v>
      </c>
      <c r="G23" s="10">
        <f>=F23/E22</f>
        <v>0.0206725216021588</v>
      </c>
      <c r="H23" s="5">
        <v>8882958.77</v>
      </c>
      <c r="I23" s="10">
        <f>=F23/H23</f>
        <v>0.00603852853411364</v>
      </c>
    </row>
    <row r="24" spans="1:9">
      <c r="A24" s="5" t="s">
        <v>10</v>
      </c>
      <c r="B24" s="5" t="s">
        <v>16</v>
      </c>
      <c r="C24" s="5" t="s">
        <v>17</v>
      </c>
      <c r="D24" s="6">
        <v>46234</v>
      </c>
      <c r="E24" s="5">
        <v>2646678.77</v>
      </c>
      <c r="F24" s="5">
        <f>=E24-E23</f>
        <v>-1710</v>
      </c>
      <c r="G24" s="10">
        <f>=F24/E23</f>
        <v>-0.000645675596940399</v>
      </c>
      <c r="H24" s="5">
        <v>8882958.77</v>
      </c>
      <c r="I24" s="10">
        <f>=F24/H24</f>
        <v>-0.000192503426423086</v>
      </c>
    </row>
    <row r="25" spans="1:9">
      <c r="A25" s="7" t="s">
        <v>10</v>
      </c>
      <c r="B25" s="7" t="s">
        <v>16</v>
      </c>
      <c r="C25" s="7" t="s">
        <v>17</v>
      </c>
      <c r="D25" s="8">
        <v>46237</v>
      </c>
      <c r="E25" s="7">
        <v>2705808.77</v>
      </c>
      <c r="F25" s="7">
        <f>=E25-E24</f>
        <v>59130</v>
      </c>
      <c r="G25" s="7">
        <f>=F25/E24</f>
        <v>0.0223412076562657</v>
      </c>
      <c r="H25" s="7">
        <v>8882958.77</v>
      </c>
      <c r="I25" s="7">
        <f>=F25/H25</f>
        <v>0.0066565658505246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I5"/>
  <sheetViews>
    <sheetView showGridLines="1" workbookViewId="0"/>
  </sheetViews>
  <sheetFormatPr baseColWidth="13" defaultRowHeight="18" customHeight="1"/>
  <cols>
    <col min="8" max="8" width="11.8906" style="18" customWidth="1"/>
    <col min="9" max="9" width="18.2812" style="18" customWidth="1"/>
  </cols>
  <sheetData>
    <row r="1" spans="1:9">
      <c r="A1" s="4" t="s">
        <v>2</v>
      </c>
      <c r="B1" s="4" t="s">
        <v>3</v>
      </c>
      <c r="C1" s="4" t="s">
        <v>18</v>
      </c>
      <c r="D1" s="4" t="s">
        <v>19</v>
      </c>
      <c r="E1" s="4" t="s">
        <v>6</v>
      </c>
      <c r="F1" s="4" t="s">
        <v>20</v>
      </c>
      <c r="G1" s="4" t="s">
        <v>21</v>
      </c>
      <c r="H1" s="4" t="s">
        <v>22</v>
      </c>
      <c r="I1" s="4" t="s">
        <v>23</v>
      </c>
    </row>
    <row r="2" spans="1:9">
      <c r="A2" s="5" t="s">
        <v>11</v>
      </c>
      <c r="B2" s="5" t="s">
        <v>12</v>
      </c>
      <c r="C2" s="11">
        <f>=INDEX('510050'!$D:$D,COUNTA('510050'!$D:$D))</f>
        <v>46237</v>
      </c>
      <c r="D2" s="12">
        <f>=INDEX('510050'!$E:$E,COUNTA('510050'!$E:$E))</f>
        <v>767766.68</v>
      </c>
      <c r="E2" s="12">
        <f>=INDEX('510050'!$F:$F,COUNTA('510050'!$E:$E))</f>
        <v>46350</v>
      </c>
      <c r="F2" s="13">
        <f>=INDEX('510050'!$G:$G,COUNTA('510050'!$E:$E))</f>
        <v>0.0642485837726957</v>
      </c>
      <c r="G2" s="13">
        <f>=INDEX('510050'!$I:$I,COUNTA('510050'!$E:$E))</f>
        <v>0.0081797004407692</v>
      </c>
      <c r="H2" s="5" t="s">
        <v>24</v>
      </c>
      <c r="I2" s="13">
        <f>=SUM(INDEX('510050'!$I:$I,COUNTA('510050'!$E:$E)-2+1):INDEX('510050'!$I:$I,COUNTA('510050'!$E:$E)))</f>
        <v>0.00940268477851528</v>
      </c>
    </row>
    <row r="3" spans="1:9">
      <c r="A3" s="5" t="s">
        <v>16</v>
      </c>
      <c r="B3" s="5" t="s">
        <v>17</v>
      </c>
      <c r="C3" s="11">
        <f>=INDEX('510300'!$D:$D,COUNTA('510300'!$D:$D))</f>
        <v>46237</v>
      </c>
      <c r="D3" s="12">
        <f>=INDEX('510300'!$E:$E,COUNTA('510300'!$E:$E))</f>
        <v>2705808.77</v>
      </c>
      <c r="E3" s="12">
        <f>=INDEX('510300'!$F:$F,COUNTA('510300'!$E:$E))</f>
        <v>59130</v>
      </c>
      <c r="F3" s="13">
        <f>=INDEX('510300'!$G:$G,COUNTA('510300'!$E:$E))</f>
        <v>0.0223412076562657</v>
      </c>
      <c r="G3" s="13">
        <f>=INDEX('510300'!$I:$I,COUNTA('510300'!$E:$E))</f>
        <v>0.0066565658505246</v>
      </c>
      <c r="H3" s="5" t="s">
        <v>25</v>
      </c>
      <c r="I3" s="13">
        <f>=SUM(INDEX('510300'!$I:$I,COUNTA('510300'!$E:$E)-1+1):INDEX('510300'!$I:$I,COUNTA('510300'!$E:$E)))</f>
        <v>0.0066565658505246</v>
      </c>
    </row>
    <row r="4" spans="1:9">
      <c r="A4" s="5" t="s">
        <v>14</v>
      </c>
      <c r="B4" s="5" t="s">
        <v>15</v>
      </c>
      <c r="C4" s="11">
        <f>=INDEX('159919'!$D:$D,COUNTA('159919'!$D:$D))</f>
        <v>46237</v>
      </c>
      <c r="D4" s="12">
        <f>=INDEX('159919'!$E:$E,COUNTA('159919'!$E:$E))</f>
        <v>670521.66</v>
      </c>
      <c r="E4" s="12">
        <f>=INDEX('159919'!$F:$F,COUNTA('159919'!$E:$E))</f>
        <v>9630</v>
      </c>
      <c r="F4" s="13">
        <f>=INDEX('159919'!$G:$G,COUNTA('159919'!$E:$E))</f>
        <v>0.0145712233681387</v>
      </c>
      <c r="G4" s="13">
        <f>=INDEX('159919'!$I:$I,COUNTA('159919'!$E:$E))</f>
        <v>0.00235920607262289</v>
      </c>
      <c r="H4" s="5" t="s">
        <v>26</v>
      </c>
      <c r="I4" s="13">
        <f>=SUM(INDEX('159919'!$I:$I,COUNTA('159919'!$E:$E)-8+1):INDEX('159919'!$I:$I,COUNTA('159919'!$E:$E)))</f>
        <v>0.0128102684877934</v>
      </c>
    </row>
    <row r="5" spans="1:9">
      <c r="A5" s="5" t="s">
        <v>27</v>
      </c>
      <c r="B5" s="5" t="s">
        <v>28</v>
      </c>
      <c r="C5" s="11">
        <f>=INDEX('159915'!$D:$D,COUNTA('159915'!$D:$D))</f>
        <v>46237</v>
      </c>
      <c r="D5" s="12">
        <f>=INDEX('159915'!$E:$E,COUNTA('159915'!$E:$E))</f>
        <v>2035945.49</v>
      </c>
      <c r="E5" s="12">
        <f>=INDEX('159915'!$F:$F,COUNTA('159915'!$E:$E))</f>
        <v>-3800</v>
      </c>
      <c r="F5" s="13">
        <f>=INDEX('159915'!$G:$G,COUNTA('159915'!$E:$E))</f>
        <v>-0.00186297752274966</v>
      </c>
      <c r="G5" s="13">
        <f>=INDEX('159915'!$I:$I,COUNTA('159915'!$E:$E))</f>
        <v>-0.00120625519886071</v>
      </c>
      <c r="H5" s="5" t="s">
        <v>29</v>
      </c>
      <c r="I5" s="13">
        <f>=SUM(INDEX('159915'!$I:$I,COUNTA('159915'!$E:$E)-2+1):INDEX('159915'!$I:$I,COUNTA('159915'!$E:$E)))</f>
        <v>-0.0519642042246048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I25"/>
  <sheetViews>
    <sheetView showGridLines="1" workbookViewId="0"/>
  </sheetViews>
  <sheetFormatPr baseColWidth="8" defaultRowHeight="15"/>
  <sheetData>
    <row r="1" spans="1:9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</row>
    <row r="2" spans="1:8">
      <c r="A2" s="5" t="s">
        <v>13</v>
      </c>
      <c r="B2" s="5" t="s">
        <v>27</v>
      </c>
      <c r="C2" s="5" t="s">
        <v>28</v>
      </c>
      <c r="D2" s="6">
        <v>46204</v>
      </c>
      <c r="E2" s="5">
        <v>1069445.49</v>
      </c>
      <c r="H2" s="5">
        <v>3150245.49</v>
      </c>
    </row>
    <row r="3" spans="1:9">
      <c r="A3" s="5" t="s">
        <v>13</v>
      </c>
      <c r="B3" s="5" t="s">
        <v>27</v>
      </c>
      <c r="C3" s="5" t="s">
        <v>28</v>
      </c>
      <c r="D3" s="6">
        <v>46205</v>
      </c>
      <c r="E3" s="5">
        <v>1116545.49</v>
      </c>
      <c r="F3" s="5">
        <f>=E3-E2</f>
        <v>47100</v>
      </c>
      <c r="G3" s="5">
        <f>=F3/E2</f>
        <v>0.0440415153838276</v>
      </c>
      <c r="H3" s="5">
        <v>3150245.49</v>
      </c>
      <c r="I3" s="5">
        <f>=F3/H3</f>
        <v>0.0149512157542998</v>
      </c>
    </row>
    <row r="4" spans="1:9">
      <c r="A4" s="5" t="s">
        <v>13</v>
      </c>
      <c r="B4" s="5" t="s">
        <v>27</v>
      </c>
      <c r="C4" s="5" t="s">
        <v>28</v>
      </c>
      <c r="D4" s="6">
        <v>46206</v>
      </c>
      <c r="E4" s="5">
        <v>1104245.49</v>
      </c>
      <c r="F4" s="5">
        <f>=E4-E3</f>
        <v>-12300</v>
      </c>
      <c r="G4" s="5">
        <f>=F4/E3</f>
        <v>-0.0110161208031032</v>
      </c>
      <c r="H4" s="5">
        <v>3150245.49</v>
      </c>
      <c r="I4" s="5">
        <f>=F4/H4</f>
        <v>-0.00390445761736493</v>
      </c>
    </row>
    <row r="5" spans="1:9">
      <c r="A5" s="5" t="s">
        <v>13</v>
      </c>
      <c r="B5" s="5" t="s">
        <v>27</v>
      </c>
      <c r="C5" s="5" t="s">
        <v>28</v>
      </c>
      <c r="D5" s="6">
        <v>46209</v>
      </c>
      <c r="E5" s="5">
        <v>1114345.49</v>
      </c>
      <c r="F5" s="5">
        <f>=E5-E4</f>
        <v>10100</v>
      </c>
      <c r="G5" s="5">
        <f>=F5/E4</f>
        <v>0.00914651686736796</v>
      </c>
      <c r="H5" s="5">
        <v>3150245.49</v>
      </c>
      <c r="I5" s="5">
        <f>=F5/H5</f>
        <v>0.0032060993443403</v>
      </c>
    </row>
    <row r="6" spans="1:9">
      <c r="A6" s="5" t="s">
        <v>13</v>
      </c>
      <c r="B6" s="5" t="s">
        <v>27</v>
      </c>
      <c r="C6" s="5" t="s">
        <v>28</v>
      </c>
      <c r="D6" s="6">
        <v>46210</v>
      </c>
      <c r="E6" s="5">
        <v>1153345.49</v>
      </c>
      <c r="F6" s="5">
        <f>=E6-E5</f>
        <v>39000</v>
      </c>
      <c r="G6" s="5">
        <f>=F6/E5</f>
        <v>0.0349981225302038</v>
      </c>
      <c r="H6" s="5">
        <v>3150245.49</v>
      </c>
      <c r="I6" s="5">
        <f>=F6/H6</f>
        <v>0.0123799875672546</v>
      </c>
    </row>
    <row r="7" spans="1:9">
      <c r="A7" s="5" t="s">
        <v>13</v>
      </c>
      <c r="B7" s="5" t="s">
        <v>27</v>
      </c>
      <c r="C7" s="5" t="s">
        <v>28</v>
      </c>
      <c r="D7" s="6">
        <v>46211</v>
      </c>
      <c r="E7" s="5">
        <v>1174645.49</v>
      </c>
      <c r="F7" s="5">
        <f>=E7-E6</f>
        <v>21300</v>
      </c>
      <c r="G7" s="5">
        <f>=F7/E6</f>
        <v>0.0184680134310839</v>
      </c>
      <c r="H7" s="5">
        <v>3150245.49</v>
      </c>
      <c r="I7" s="5">
        <f>=F7/H7</f>
        <v>0.00676137782519292</v>
      </c>
    </row>
    <row r="8" spans="1:9">
      <c r="A8" s="5" t="s">
        <v>13</v>
      </c>
      <c r="B8" s="5" t="s">
        <v>27</v>
      </c>
      <c r="C8" s="5" t="s">
        <v>28</v>
      </c>
      <c r="D8" s="6">
        <v>46212</v>
      </c>
      <c r="E8" s="5">
        <v>1180045.49</v>
      </c>
      <c r="F8" s="5">
        <f>=E8-E7</f>
        <v>5400</v>
      </c>
      <c r="G8" s="5">
        <f>=F8/E7</f>
        <v>0.0045971316843859</v>
      </c>
      <c r="H8" s="5">
        <v>3150245.49</v>
      </c>
      <c r="I8" s="5">
        <f>=F8/H8</f>
        <v>0.0017141521246968</v>
      </c>
    </row>
    <row r="9" spans="1:9">
      <c r="A9" s="5" t="s">
        <v>13</v>
      </c>
      <c r="B9" s="5" t="s">
        <v>27</v>
      </c>
      <c r="C9" s="5" t="s">
        <v>28</v>
      </c>
      <c r="D9" s="6">
        <v>46213</v>
      </c>
      <c r="E9" s="5">
        <v>1180145.49</v>
      </c>
      <c r="F9" s="5">
        <f>=E9-E8</f>
        <v>100</v>
      </c>
      <c r="G9" s="5">
        <f>=F9/E8</f>
        <v>0.000084742495816835</v>
      </c>
      <c r="H9" s="5">
        <v>3150245.49</v>
      </c>
      <c r="I9" s="5">
        <f>=F9/H9</f>
        <v>0.0000317435578647555</v>
      </c>
    </row>
    <row r="10" spans="1:9">
      <c r="A10" s="5" t="s">
        <v>13</v>
      </c>
      <c r="B10" s="5" t="s">
        <v>27</v>
      </c>
      <c r="C10" s="5" t="s">
        <v>28</v>
      </c>
      <c r="D10" s="6">
        <v>46216</v>
      </c>
      <c r="E10" s="5">
        <v>1233845.49</v>
      </c>
      <c r="F10" s="5">
        <f>=E10-E9</f>
        <v>53700</v>
      </c>
      <c r="G10" s="5">
        <f>=F10/E9</f>
        <v>0.045502864227359</v>
      </c>
      <c r="H10" s="5">
        <v>3150245.49</v>
      </c>
      <c r="I10" s="5">
        <f>=F10/H10</f>
        <v>0.0170462905733737</v>
      </c>
    </row>
    <row r="11" spans="1:9">
      <c r="A11" s="5" t="s">
        <v>13</v>
      </c>
      <c r="B11" s="5" t="s">
        <v>27</v>
      </c>
      <c r="C11" s="5" t="s">
        <v>28</v>
      </c>
      <c r="D11" s="6">
        <v>46217</v>
      </c>
      <c r="E11" s="5">
        <v>1246945.49</v>
      </c>
      <c r="F11" s="5">
        <f>=E11-E10</f>
        <v>13100</v>
      </c>
      <c r="G11" s="5">
        <f>=F11/E10</f>
        <v>0.0106172126949218</v>
      </c>
      <c r="H11" s="5">
        <v>3150245.49</v>
      </c>
      <c r="I11" s="5">
        <f>=F11/H11</f>
        <v>0.00415840608028297</v>
      </c>
    </row>
    <row r="12" spans="1:9">
      <c r="A12" s="5" t="s">
        <v>13</v>
      </c>
      <c r="B12" s="5" t="s">
        <v>27</v>
      </c>
      <c r="C12" s="5" t="s">
        <v>28</v>
      </c>
      <c r="D12" s="6">
        <v>46218</v>
      </c>
      <c r="E12" s="5">
        <v>1245645.49</v>
      </c>
      <c r="F12" s="5">
        <f>=E12-E11</f>
        <v>-1300</v>
      </c>
      <c r="G12" s="5">
        <f>=F12/E11</f>
        <v>-0.00104254757760101</v>
      </c>
      <c r="H12" s="5">
        <v>3150245.49</v>
      </c>
      <c r="I12" s="5">
        <f>=F12/H12</f>
        <v>-0.000412666252241821</v>
      </c>
    </row>
    <row r="13" spans="1:9">
      <c r="A13" s="5" t="s">
        <v>13</v>
      </c>
      <c r="B13" s="5" t="s">
        <v>27</v>
      </c>
      <c r="C13" s="5" t="s">
        <v>28</v>
      </c>
      <c r="D13" s="6">
        <v>46219</v>
      </c>
      <c r="E13" s="5">
        <v>1302445.49</v>
      </c>
      <c r="F13" s="5">
        <f>=E13-E12</f>
        <v>56800</v>
      </c>
      <c r="G13" s="5">
        <f>=F13/E12</f>
        <v>0.0455988485134723</v>
      </c>
      <c r="H13" s="5">
        <v>3150245.49</v>
      </c>
      <c r="I13" s="5">
        <f>=F13/H13</f>
        <v>0.0180303408671811</v>
      </c>
    </row>
    <row r="14" spans="1:9">
      <c r="A14" s="5" t="s">
        <v>13</v>
      </c>
      <c r="B14" s="5" t="s">
        <v>27</v>
      </c>
      <c r="C14" s="5" t="s">
        <v>28</v>
      </c>
      <c r="D14" s="6">
        <v>46220</v>
      </c>
      <c r="E14" s="5">
        <v>1492045.49</v>
      </c>
      <c r="F14" s="5">
        <f>=E14-E13</f>
        <v>189600</v>
      </c>
      <c r="G14" s="5">
        <f>=F14/E13</f>
        <v>0.14557231105311</v>
      </c>
      <c r="H14" s="5">
        <v>3150245.49</v>
      </c>
      <c r="I14" s="5">
        <f>=F14/H14</f>
        <v>0.0601857857115764</v>
      </c>
    </row>
    <row r="15" spans="1:9">
      <c r="A15" s="5" t="s">
        <v>13</v>
      </c>
      <c r="B15" s="5" t="s">
        <v>27</v>
      </c>
      <c r="C15" s="5" t="s">
        <v>28</v>
      </c>
      <c r="D15" s="6">
        <v>46223</v>
      </c>
      <c r="E15" s="5">
        <v>1763945.49</v>
      </c>
      <c r="F15" s="5">
        <f>=E15-E14</f>
        <v>271900</v>
      </c>
      <c r="G15" s="5">
        <f>=F15/E14</f>
        <v>0.182233049744348</v>
      </c>
      <c r="H15" s="5">
        <v>3150245.49</v>
      </c>
      <c r="I15" s="5">
        <f>=F15/H15</f>
        <v>0.0863107338342702</v>
      </c>
    </row>
    <row r="16" spans="1:9">
      <c r="A16" s="5" t="s">
        <v>13</v>
      </c>
      <c r="B16" s="5" t="s">
        <v>27</v>
      </c>
      <c r="C16" s="5" t="s">
        <v>28</v>
      </c>
      <c r="D16" s="6">
        <v>46224</v>
      </c>
      <c r="E16" s="5">
        <v>1704345.49</v>
      </c>
      <c r="F16" s="5">
        <f>=E16-E15</f>
        <v>-59600</v>
      </c>
      <c r="G16" s="5">
        <f>=F16/E15</f>
        <v>-0.0337878921644002</v>
      </c>
      <c r="H16" s="5">
        <v>3150245.49</v>
      </c>
      <c r="I16" s="5">
        <f>=F16/H16</f>
        <v>-0.0189191604873943</v>
      </c>
    </row>
    <row r="17" spans="1:9">
      <c r="A17" s="5" t="s">
        <v>13</v>
      </c>
      <c r="B17" s="5" t="s">
        <v>27</v>
      </c>
      <c r="C17" s="5" t="s">
        <v>28</v>
      </c>
      <c r="D17" s="6">
        <v>46225</v>
      </c>
      <c r="E17" s="5">
        <v>1662645.49</v>
      </c>
      <c r="F17" s="5">
        <f>=E17-E16</f>
        <v>-41700</v>
      </c>
      <c r="G17" s="5">
        <f>=F17/E16</f>
        <v>-0.0244668702705342</v>
      </c>
      <c r="H17" s="5">
        <v>3150245.49</v>
      </c>
      <c r="I17" s="5">
        <f>=F17/H17</f>
        <v>-0.013237063629603</v>
      </c>
    </row>
    <row r="18" spans="1:9">
      <c r="A18" s="5" t="s">
        <v>13</v>
      </c>
      <c r="B18" s="5" t="s">
        <v>27</v>
      </c>
      <c r="C18" s="5" t="s">
        <v>28</v>
      </c>
      <c r="D18" s="6">
        <v>46226</v>
      </c>
      <c r="E18" s="5">
        <v>1661945.49</v>
      </c>
      <c r="F18" s="5">
        <f>=E18-E17</f>
        <v>-700</v>
      </c>
      <c r="G18" s="5">
        <f>=F18/E17</f>
        <v>-0.000421015787316152</v>
      </c>
      <c r="H18" s="5">
        <v>3150245.49</v>
      </c>
      <c r="I18" s="5">
        <f>=F18/H18</f>
        <v>-0.000222204905053288</v>
      </c>
    </row>
    <row r="19" spans="1:9">
      <c r="A19" s="5" t="s">
        <v>13</v>
      </c>
      <c r="B19" s="5" t="s">
        <v>27</v>
      </c>
      <c r="C19" s="5" t="s">
        <v>28</v>
      </c>
      <c r="D19" s="6">
        <v>46227</v>
      </c>
      <c r="E19" s="5">
        <v>1665345.49</v>
      </c>
      <c r="F19" s="5">
        <f>=E19-E18</f>
        <v>3400</v>
      </c>
      <c r="G19" s="5">
        <f>=F19/E18</f>
        <v>0.00204579513615696</v>
      </c>
      <c r="H19" s="5">
        <v>3150245.49</v>
      </c>
      <c r="I19" s="5">
        <f>=F19/H19</f>
        <v>0.00107928096740169</v>
      </c>
    </row>
    <row r="20" spans="1:9">
      <c r="A20" s="5" t="s">
        <v>13</v>
      </c>
      <c r="B20" s="5" t="s">
        <v>27</v>
      </c>
      <c r="C20" s="5" t="s">
        <v>28</v>
      </c>
      <c r="D20" s="6">
        <v>46230</v>
      </c>
      <c r="E20" s="5">
        <v>1697345.49</v>
      </c>
      <c r="F20" s="5">
        <f>=E20-E19</f>
        <v>32000</v>
      </c>
      <c r="G20" s="5">
        <f>=F20/E19</f>
        <v>0.0192152320297214</v>
      </c>
      <c r="H20" s="5">
        <v>3150245.49</v>
      </c>
      <c r="I20" s="5">
        <f>=F20/H20</f>
        <v>0.0101579385167218</v>
      </c>
    </row>
    <row r="21" spans="1:9">
      <c r="A21" s="5" t="s">
        <v>13</v>
      </c>
      <c r="B21" s="5" t="s">
        <v>27</v>
      </c>
      <c r="C21" s="5" t="s">
        <v>28</v>
      </c>
      <c r="D21" s="6">
        <v>46231</v>
      </c>
      <c r="E21" s="5">
        <v>1897445.49</v>
      </c>
      <c r="F21" s="5">
        <f>=E21-E20</f>
        <v>200100</v>
      </c>
      <c r="G21" s="5">
        <f>=F21/E20</f>
        <v>0.117889964759031</v>
      </c>
      <c r="H21" s="5">
        <v>3150245.49</v>
      </c>
      <c r="I21" s="5">
        <f>=F21/H21</f>
        <v>0.0635188592873757</v>
      </c>
    </row>
    <row r="22" spans="1:9">
      <c r="A22" s="5" t="s">
        <v>13</v>
      </c>
      <c r="B22" s="5" t="s">
        <v>27</v>
      </c>
      <c r="C22" s="5" t="s">
        <v>28</v>
      </c>
      <c r="D22" s="6">
        <v>46232</v>
      </c>
      <c r="E22" s="5">
        <v>2004845.49</v>
      </c>
      <c r="F22" s="5">
        <f>=E22-E21</f>
        <v>107400</v>
      </c>
      <c r="G22" s="5">
        <f>=F22/E21</f>
        <v>0.0566024165468912</v>
      </c>
      <c r="H22" s="5">
        <v>3150245.49</v>
      </c>
      <c r="I22" s="5">
        <f>=F22/H22</f>
        <v>0.0340925811467474</v>
      </c>
    </row>
    <row r="23" spans="1:9">
      <c r="A23" s="5" t="s">
        <v>13</v>
      </c>
      <c r="B23" s="5" t="s">
        <v>27</v>
      </c>
      <c r="C23" s="5" t="s">
        <v>28</v>
      </c>
      <c r="D23" s="6">
        <v>46233</v>
      </c>
      <c r="E23" s="5">
        <v>2199645.49</v>
      </c>
      <c r="F23" s="5">
        <f>=E23-E22</f>
        <v>194800</v>
      </c>
      <c r="G23" s="5">
        <f>=F23/E22</f>
        <v>0.0971645949633756</v>
      </c>
      <c r="H23" s="5">
        <v>3150245.49</v>
      </c>
      <c r="I23" s="5">
        <f>=F23/H23</f>
        <v>0.0618364507205438</v>
      </c>
    </row>
    <row r="24" spans="1:9">
      <c r="A24" s="5" t="s">
        <v>13</v>
      </c>
      <c r="B24" s="5" t="s">
        <v>27</v>
      </c>
      <c r="C24" s="5" t="s">
        <v>28</v>
      </c>
      <c r="D24" s="6">
        <v>46234</v>
      </c>
      <c r="E24" s="5">
        <v>2039745.49</v>
      </c>
      <c r="F24" s="5">
        <f>=E24-E23</f>
        <v>-159900</v>
      </c>
      <c r="G24" s="5">
        <f>=F24/E23</f>
        <v>-0.0726935320836633</v>
      </c>
      <c r="H24" s="5">
        <v>3150245.49</v>
      </c>
      <c r="I24" s="5">
        <f>=F24/H24</f>
        <v>-0.0507579490257441</v>
      </c>
    </row>
    <row r="25" spans="1:9">
      <c r="A25" s="7" t="s">
        <v>13</v>
      </c>
      <c r="B25" s="7" t="s">
        <v>27</v>
      </c>
      <c r="C25" s="7" t="s">
        <v>28</v>
      </c>
      <c r="D25" s="8">
        <v>46237</v>
      </c>
      <c r="E25" s="7">
        <v>2035945.49</v>
      </c>
      <c r="F25" s="7">
        <f>=E25-E24</f>
        <v>-3800</v>
      </c>
      <c r="G25" s="7">
        <f>=F25/E24</f>
        <v>-0.00186297752274966</v>
      </c>
      <c r="H25" s="7">
        <v>3150245.49</v>
      </c>
      <c r="I25" s="7">
        <f>=F25/H25</f>
        <v>-0.00120625519886071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2026-08-04T09:50:13Z</dcterms:created>
  <dcterms:modified xsi:type="dcterms:W3CDTF">2026-08-04T09:50:13Z</dcterms:modified>
</cp:coreProperties>
</file>