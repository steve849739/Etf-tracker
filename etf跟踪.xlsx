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t="inlineStr">
        <is>
          <t>上交所</t>
        </is>
      </c>
      <c r="B50" t="inlineStr">
        <is>
          <t>510050</t>
        </is>
      </c>
      <c r="C50" t="inlineStr">
        <is>
          <t>上证50华夏</t>
        </is>
      </c>
      <c r="D50" s="23" t="n">
        <v>46279</v>
      </c>
      <c r="E50" t="n">
        <v>704676.6800000001</v>
      </c>
      <c r="F50">
        <f>E50-E49</f>
        <v/>
      </c>
      <c r="G50">
        <f>F50/E49</f>
        <v/>
      </c>
      <c r="H50" t="n">
        <v>5666466.68</v>
      </c>
      <c r="I50">
        <f>F50/H50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t="inlineStr">
        <is>
          <t>深交所</t>
        </is>
      </c>
      <c r="B55" t="inlineStr">
        <is>
          <t>159919</t>
        </is>
      </c>
      <c r="C55" t="inlineStr">
        <is>
          <t>沪深300ETF嘉实</t>
        </is>
      </c>
      <c r="D55" s="23" t="n">
        <v>46279</v>
      </c>
      <c r="E55" t="n">
        <v>631101.66</v>
      </c>
      <c r="F55">
        <f>E55-E54</f>
        <v/>
      </c>
      <c r="G55">
        <f>F55/E54</f>
        <v/>
      </c>
      <c r="H55" t="n">
        <v>4081881.66</v>
      </c>
      <c r="I55">
        <f>F55/H55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t="inlineStr">
        <is>
          <t>上交所</t>
        </is>
      </c>
      <c r="B50" t="inlineStr">
        <is>
          <t>510300</t>
        </is>
      </c>
      <c r="C50" t="inlineStr">
        <is>
          <t>沪深300etf华泰柏瑞</t>
        </is>
      </c>
      <c r="D50" s="23" t="n">
        <v>46279</v>
      </c>
      <c r="E50" t="n">
        <v>2340318.77</v>
      </c>
      <c r="F50">
        <f>E50-E49</f>
        <v/>
      </c>
      <c r="G50">
        <f>F50/E49</f>
        <v/>
      </c>
      <c r="H50" t="n">
        <v>8882958.77</v>
      </c>
      <c r="I50">
        <f>F50/H50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连续2日增持</t>
        </is>
      </c>
      <c r="I2" s="13">
        <f>SUM(INDEX('510050'!$I:$I,COUNTA('510050'!$E:$E)-2+1):INDEX('510050'!$I:$I,COUNTA('510050'!$E:$E)))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连续3日增持</t>
        </is>
      </c>
      <c r="I3" s="13">
        <f>SUM(INDEX('510300'!$I:$I,COUNTA('510300'!$E:$E)-3+1):INDEX('510300'!$I:$I,COUNTA('510300'!$E:$E)))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连续2日增持</t>
        </is>
      </c>
      <c r="I4" s="13">
        <f>SUM(INDEX('159919'!$I:$I,COUNTA('159919'!$E:$E)-2+1):INDEX('159919'!$I:$I,COUNTA('159919'!$E:$E)))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连续3日增持</t>
        </is>
      </c>
      <c r="I5" s="13">
        <f>SUM(INDEX('159915'!$I:$I,COUNTA('159915'!$E:$E)-3+1):INDEX('159915'!$I:$I,COUNTA('159915'!$E:$E)))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t="inlineStr">
        <is>
          <t>深交所</t>
        </is>
      </c>
      <c r="B55" t="inlineStr">
        <is>
          <t>159915</t>
        </is>
      </c>
      <c r="C55" t="inlineStr">
        <is>
          <t>易方达创业板ETF</t>
        </is>
      </c>
      <c r="D55" s="23" t="n">
        <v>46279</v>
      </c>
      <c r="E55" t="n">
        <v>1977845.49</v>
      </c>
      <c r="F55">
        <f>E55-E54</f>
        <v/>
      </c>
      <c r="G55">
        <f>F55/E54</f>
        <v/>
      </c>
      <c r="H55" t="n">
        <v>3150245.49</v>
      </c>
      <c r="I55">
        <f>F55/H55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2026-09-15T00:01:05Z</dcterms:modified>
</cp:coreProperties>
</file>