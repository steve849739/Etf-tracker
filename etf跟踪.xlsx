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510050</t>
        </is>
      </c>
      <c r="C70" s="3" t="inlineStr">
        <is>
          <t>上证50华夏</t>
        </is>
      </c>
      <c r="D70" s="23" t="n">
        <v>46316</v>
      </c>
      <c r="E70" s="3" t="n">
        <v>1139016.68</v>
      </c>
      <c r="F70" s="3">
        <f>E70-E69</f>
        <v/>
      </c>
      <c r="G70" s="3">
        <f>F70/E69</f>
        <v/>
      </c>
      <c r="H70" s="3" t="n">
        <v>5666466.68</v>
      </c>
      <c r="I70" s="3">
        <f>F70/H70</f>
        <v/>
      </c>
    </row>
    <row r="71">
      <c r="A71" t="inlineStr">
        <is>
          <t>上交所</t>
        </is>
      </c>
      <c r="B71" t="inlineStr">
        <is>
          <t>510050</t>
        </is>
      </c>
      <c r="C71" t="inlineStr">
        <is>
          <t>上证50华夏</t>
        </is>
      </c>
      <c r="D71" s="23" t="n">
        <v>46318</v>
      </c>
      <c r="E71" t="n">
        <v>1299306.68</v>
      </c>
      <c r="F71">
        <f>E71-E70</f>
        <v/>
      </c>
      <c r="G71">
        <f>F71/E70</f>
        <v/>
      </c>
      <c r="H71" t="n">
        <v>5666466.68</v>
      </c>
      <c r="I71">
        <f>F71/H71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159919</t>
        </is>
      </c>
      <c r="C76" s="3" t="inlineStr">
        <is>
          <t>沪深300ETF嘉实</t>
        </is>
      </c>
      <c r="D76" s="23" t="n">
        <v>46316</v>
      </c>
      <c r="E76" s="3" t="n">
        <v>756561.66</v>
      </c>
      <c r="F76" s="3">
        <f>E76-E75</f>
        <v/>
      </c>
      <c r="G76" s="3">
        <f>F76/E75</f>
        <v/>
      </c>
      <c r="H76" s="3" t="n">
        <v>4081881.66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159919</t>
        </is>
      </c>
      <c r="C77" s="3" t="inlineStr">
        <is>
          <t>沪深300ETF嘉实</t>
        </is>
      </c>
      <c r="D77" s="23" t="n">
        <v>46317</v>
      </c>
      <c r="E77" s="3" t="n">
        <v>976791.66</v>
      </c>
      <c r="F77" s="3">
        <f>E77-E76</f>
        <v/>
      </c>
      <c r="G77" s="3">
        <f>F77/E76</f>
        <v/>
      </c>
      <c r="H77" s="3" t="n">
        <v>4081881.66</v>
      </c>
      <c r="I77" s="3">
        <f>F77/H77</f>
        <v/>
      </c>
    </row>
    <row r="78">
      <c r="A78" t="inlineStr">
        <is>
          <t>深交所</t>
        </is>
      </c>
      <c r="B78" t="inlineStr">
        <is>
          <t>159919</t>
        </is>
      </c>
      <c r="C78" t="inlineStr">
        <is>
          <t>沪深300ETF嘉实</t>
        </is>
      </c>
      <c r="D78" s="23" t="n">
        <v>46318</v>
      </c>
      <c r="E78" t="n">
        <v>998751.66</v>
      </c>
      <c r="F78">
        <f>E78-E77</f>
        <v/>
      </c>
      <c r="G78">
        <f>F78/E77</f>
        <v/>
      </c>
      <c r="H78" t="n">
        <v>4081881.66</v>
      </c>
      <c r="I78">
        <f>F78/H78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510300</t>
        </is>
      </c>
      <c r="C70" s="3" t="inlineStr">
        <is>
          <t>沪深300etf华泰柏瑞</t>
        </is>
      </c>
      <c r="D70" s="23" t="n">
        <v>46316</v>
      </c>
      <c r="E70" s="3" t="n">
        <v>3019908.77</v>
      </c>
      <c r="F70" s="3">
        <f>E70-E69</f>
        <v/>
      </c>
      <c r="G70" s="3">
        <f>F70/E69</f>
        <v/>
      </c>
      <c r="H70" s="3" t="n">
        <v>8882958.77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510300</t>
        </is>
      </c>
      <c r="C71" s="3" t="inlineStr">
        <is>
          <t>沪深300etf华泰柏瑞</t>
        </is>
      </c>
      <c r="D71" s="23" t="n">
        <v>46317</v>
      </c>
      <c r="E71" s="3" t="n">
        <v>3272988.77</v>
      </c>
      <c r="F71" s="3">
        <f>E71-E70</f>
        <v/>
      </c>
      <c r="G71" s="3">
        <f>F71/E70</f>
        <v/>
      </c>
      <c r="H71" s="3" t="n">
        <v>8882958.77</v>
      </c>
      <c r="I71" s="3">
        <f>F71/H71</f>
        <v/>
      </c>
    </row>
    <row r="72">
      <c r="A72" t="inlineStr">
        <is>
          <t>上交所</t>
        </is>
      </c>
      <c r="B72" t="inlineStr">
        <is>
          <t>510300</t>
        </is>
      </c>
      <c r="C72" t="inlineStr">
        <is>
          <t>沪深300etf华泰柏瑞</t>
        </is>
      </c>
      <c r="D72" s="23" t="n">
        <v>46318</v>
      </c>
      <c r="E72" t="n">
        <v>3524268.77</v>
      </c>
      <c r="F72">
        <f>E72-E71</f>
        <v/>
      </c>
      <c r="G72">
        <f>F72/E71</f>
        <v/>
      </c>
      <c r="H72" t="n">
        <v>8882958.77</v>
      </c>
      <c r="I72">
        <f>F72/H72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连续8日增持</t>
        </is>
      </c>
      <c r="I2" s="13">
        <f>SUM(INDEX('510050'!$I:$I,COUNTA('510050'!$E:$E)-8+1):INDEX('510050'!$I:$I,COUNTA('510050'!$E:$E)))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连续7日增持</t>
        </is>
      </c>
      <c r="I3" s="13">
        <f>SUM(INDEX('510300'!$I:$I,COUNTA('510300'!$E:$E)-7+1):INDEX('510300'!$I:$I,COUNTA('510300'!$E:$E)))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连续12日增持</t>
        </is>
      </c>
      <c r="I5" s="13">
        <f>SUM(INDEX('159915'!$I:$I,COUNTA('159915'!$E:$E)-12+1):INDEX('159915'!$I:$I,COUNTA('159915'!$E:$E)))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159915</t>
        </is>
      </c>
      <c r="C76" s="3" t="inlineStr">
        <is>
          <t>易方达创业板ETF</t>
        </is>
      </c>
      <c r="D76" s="23" t="n">
        <v>46316</v>
      </c>
      <c r="E76" s="3" t="n">
        <v>2920445.49</v>
      </c>
      <c r="F76" s="3">
        <f>E76-E75</f>
        <v/>
      </c>
      <c r="G76" s="3">
        <f>F76/E75</f>
        <v/>
      </c>
      <c r="H76" s="3" t="n">
        <v>3150245.49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159915</t>
        </is>
      </c>
      <c r="C77" s="3" t="inlineStr">
        <is>
          <t>易方达创业板ETF</t>
        </is>
      </c>
      <c r="D77" s="23" t="n">
        <v>46317</v>
      </c>
      <c r="E77" s="3" t="n">
        <v>3130545.49</v>
      </c>
      <c r="F77" s="3">
        <f>E77-E76</f>
        <v/>
      </c>
      <c r="G77" s="3">
        <f>F77/E76</f>
        <v/>
      </c>
      <c r="H77" s="3" t="n">
        <v>3150245.49</v>
      </c>
      <c r="I77" s="3">
        <f>F77/H77</f>
        <v/>
      </c>
    </row>
    <row r="78">
      <c r="A78" t="inlineStr">
        <is>
          <t>深交所</t>
        </is>
      </c>
      <c r="B78" t="inlineStr">
        <is>
          <t>159915</t>
        </is>
      </c>
      <c r="C78" t="inlineStr">
        <is>
          <t>易方达创业板ETF</t>
        </is>
      </c>
      <c r="D78" s="23" t="n">
        <v>46318</v>
      </c>
      <c r="E78" t="n">
        <v>3375745.49</v>
      </c>
      <c r="F78">
        <f>E78-E77</f>
        <v/>
      </c>
      <c r="G78">
        <f>F78/E77</f>
        <v/>
      </c>
      <c r="H78" t="n">
        <v>3150245.49</v>
      </c>
      <c r="I78">
        <f>F78/H78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2026-10-26T00:00:53Z</dcterms:modified>
</cp:coreProperties>
</file>