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510050</t>
        </is>
      </c>
      <c r="C68" s="3" t="inlineStr">
        <is>
          <t>上证50华夏</t>
        </is>
      </c>
      <c r="D68" s="23" t="n">
        <v>46314</v>
      </c>
      <c r="E68" s="3" t="n">
        <v>961986.6800000001</v>
      </c>
      <c r="F68" s="3">
        <f>E68-E67</f>
        <v/>
      </c>
      <c r="G68" s="3">
        <f>F68/E67</f>
        <v/>
      </c>
      <c r="H68" s="3" t="n">
        <v>5666466.68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510050</t>
        </is>
      </c>
      <c r="C69" s="3" t="inlineStr">
        <is>
          <t>上证50华夏</t>
        </is>
      </c>
      <c r="D69" s="23" t="n">
        <v>46315</v>
      </c>
      <c r="E69" s="3" t="n">
        <v>1116066.68</v>
      </c>
      <c r="F69" s="3">
        <f>E69-E68</f>
        <v/>
      </c>
      <c r="G69" s="3">
        <f>F69/E68</f>
        <v/>
      </c>
      <c r="H69" s="3" t="n">
        <v>5666466.68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510050</t>
        </is>
      </c>
      <c r="C70" s="3" t="inlineStr">
        <is>
          <t>上证50华夏</t>
        </is>
      </c>
      <c r="D70" s="23" t="n">
        <v>46316</v>
      </c>
      <c r="E70" s="3" t="n">
        <v>1139016.68</v>
      </c>
      <c r="F70" s="3">
        <f>E70-E69</f>
        <v/>
      </c>
      <c r="G70" s="3">
        <f>F70/E69</f>
        <v/>
      </c>
      <c r="H70" s="3" t="n">
        <v>5666466.68</v>
      </c>
      <c r="I70" s="3">
        <f>F70/H70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159919</t>
        </is>
      </c>
      <c r="C74" s="3" t="inlineStr">
        <is>
          <t>沪深300ETF嘉实</t>
        </is>
      </c>
      <c r="D74" s="23" t="n">
        <v>46314</v>
      </c>
      <c r="E74" s="3" t="n">
        <v>698601.66</v>
      </c>
      <c r="F74" s="3">
        <f>E74-E73</f>
        <v/>
      </c>
      <c r="G74" s="3">
        <f>F74/E73</f>
        <v/>
      </c>
      <c r="H74" s="3" t="n">
        <v>4081881.66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159919</t>
        </is>
      </c>
      <c r="C75" s="3" t="inlineStr">
        <is>
          <t>沪深300ETF嘉实</t>
        </is>
      </c>
      <c r="D75" s="23" t="n">
        <v>46315</v>
      </c>
      <c r="E75" s="3" t="n">
        <v>734241.66</v>
      </c>
      <c r="F75" s="3">
        <f>E75-E74</f>
        <v/>
      </c>
      <c r="G75" s="3">
        <f>F75/E74</f>
        <v/>
      </c>
      <c r="H75" s="3" t="n">
        <v>4081881.66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159919</t>
        </is>
      </c>
      <c r="C76" s="3" t="inlineStr">
        <is>
          <t>沪深300ETF嘉实</t>
        </is>
      </c>
      <c r="D76" s="23" t="n">
        <v>46316</v>
      </c>
      <c r="E76" s="3" t="n">
        <v>756561.66</v>
      </c>
      <c r="F76" s="3">
        <f>E76-E75</f>
        <v/>
      </c>
      <c r="G76" s="3">
        <f>F76/E75</f>
        <v/>
      </c>
      <c r="H76" s="3" t="n">
        <v>4081881.66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159919</t>
        </is>
      </c>
      <c r="C77" s="3" t="inlineStr">
        <is>
          <t>沪深300ETF嘉实</t>
        </is>
      </c>
      <c r="D77" s="23" t="n">
        <v>46317</v>
      </c>
      <c r="E77" s="3" t="n">
        <v>976791.66</v>
      </c>
      <c r="F77" s="3">
        <f>E77-E76</f>
        <v/>
      </c>
      <c r="G77" s="3">
        <f>F77/E76</f>
        <v/>
      </c>
      <c r="H77" s="3" t="n">
        <v>4081881.66</v>
      </c>
      <c r="I77" s="3">
        <f>F77/H77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510300</t>
        </is>
      </c>
      <c r="C68" s="3" t="inlineStr">
        <is>
          <t>沪深300etf华泰柏瑞</t>
        </is>
      </c>
      <c r="D68" s="23" t="n">
        <v>46314</v>
      </c>
      <c r="E68" s="3" t="n">
        <v>2919558.77</v>
      </c>
      <c r="F68" s="3">
        <f>E68-E67</f>
        <v/>
      </c>
      <c r="G68" s="3">
        <f>F68/E67</f>
        <v/>
      </c>
      <c r="H68" s="3" t="n">
        <v>8882958.77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510300</t>
        </is>
      </c>
      <c r="C69" s="3" t="inlineStr">
        <is>
          <t>沪深300etf华泰柏瑞</t>
        </is>
      </c>
      <c r="D69" s="23" t="n">
        <v>46315</v>
      </c>
      <c r="E69" s="3" t="n">
        <v>2940078.77</v>
      </c>
      <c r="F69" s="3">
        <f>E69-E68</f>
        <v/>
      </c>
      <c r="G69" s="3">
        <f>F69/E68</f>
        <v/>
      </c>
      <c r="H69" s="3" t="n">
        <v>8882958.77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510300</t>
        </is>
      </c>
      <c r="C70" s="3" t="inlineStr">
        <is>
          <t>沪深300etf华泰柏瑞</t>
        </is>
      </c>
      <c r="D70" s="23" t="n">
        <v>46316</v>
      </c>
      <c r="E70" s="3" t="n">
        <v>3019908.77</v>
      </c>
      <c r="F70" s="3">
        <f>E70-E69</f>
        <v/>
      </c>
      <c r="G70" s="3">
        <f>F70/E69</f>
        <v/>
      </c>
      <c r="H70" s="3" t="n">
        <v>8882958.77</v>
      </c>
      <c r="I70" s="3">
        <f>F70/H70</f>
        <v/>
      </c>
    </row>
    <row r="71">
      <c r="A71" t="inlineStr">
        <is>
          <t>上交所</t>
        </is>
      </c>
      <c r="B71" t="inlineStr">
        <is>
          <t>510300</t>
        </is>
      </c>
      <c r="C71" t="inlineStr">
        <is>
          <t>沪深300etf华泰柏瑞</t>
        </is>
      </c>
      <c r="D71" s="23" t="n">
        <v>46317</v>
      </c>
      <c r="E71" t="n">
        <v>3272988.77</v>
      </c>
      <c r="F71">
        <f>E71-E70</f>
        <v/>
      </c>
      <c r="G71">
        <f>F71/E70</f>
        <v/>
      </c>
      <c r="H71" t="n">
        <v>8882958.77</v>
      </c>
      <c r="I71">
        <f>F71/H71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连续7日增持</t>
        </is>
      </c>
      <c r="I2" s="13">
        <f>SUM(INDEX('510050'!$I:$I,COUNTA('510050'!$E:$E)-7+1):INDEX('510050'!$I:$I,COUNTA('510050'!$E:$E)))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连续6日增持</t>
        </is>
      </c>
      <c r="I3" s="13">
        <f>SUM(INDEX('510300'!$I:$I,COUNTA('510300'!$E:$E)-6+1):INDEX('510300'!$I:$I,COUNTA('510300'!$E:$E)))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连续6日增持</t>
        </is>
      </c>
      <c r="I4" s="13">
        <f>SUM(INDEX('159919'!$I:$I,COUNTA('159919'!$E:$E)-6+1):INDEX('159919'!$I:$I,COUNTA('159919'!$E:$E)))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连续11日增持</t>
        </is>
      </c>
      <c r="I5" s="13">
        <f>SUM(INDEX('159915'!$I:$I,COUNTA('159915'!$E:$E)-11+1):INDEX('159915'!$I:$I,COUNTA('159915'!$E:$E)))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159915</t>
        </is>
      </c>
      <c r="C74" s="3" t="inlineStr">
        <is>
          <t>易方达创业板ETF</t>
        </is>
      </c>
      <c r="D74" s="23" t="n">
        <v>46314</v>
      </c>
      <c r="E74" s="3" t="n">
        <v>2673645.49</v>
      </c>
      <c r="F74" s="3">
        <f>E74-E73</f>
        <v/>
      </c>
      <c r="G74" s="3">
        <f>F74/E73</f>
        <v/>
      </c>
      <c r="H74" s="3" t="n">
        <v>3150245.49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159915</t>
        </is>
      </c>
      <c r="C75" s="3" t="inlineStr">
        <is>
          <t>易方达创业板ETF</t>
        </is>
      </c>
      <c r="D75" s="23" t="n">
        <v>46315</v>
      </c>
      <c r="E75" s="3" t="n">
        <v>2734345.49</v>
      </c>
      <c r="F75" s="3">
        <f>E75-E74</f>
        <v/>
      </c>
      <c r="G75" s="3">
        <f>F75/E74</f>
        <v/>
      </c>
      <c r="H75" s="3" t="n">
        <v>3150245.49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159915</t>
        </is>
      </c>
      <c r="C76" s="3" t="inlineStr">
        <is>
          <t>易方达创业板ETF</t>
        </is>
      </c>
      <c r="D76" s="23" t="n">
        <v>46316</v>
      </c>
      <c r="E76" s="3" t="n">
        <v>2920445.49</v>
      </c>
      <c r="F76" s="3">
        <f>E76-E75</f>
        <v/>
      </c>
      <c r="G76" s="3">
        <f>F76/E75</f>
        <v/>
      </c>
      <c r="H76" s="3" t="n">
        <v>3150245.49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159915</t>
        </is>
      </c>
      <c r="C77" s="3" t="inlineStr">
        <is>
          <t>易方达创业板ETF</t>
        </is>
      </c>
      <c r="D77" s="23" t="n">
        <v>46317</v>
      </c>
      <c r="E77" s="3" t="n">
        <v>3130545.49</v>
      </c>
      <c r="F77" s="3">
        <f>E77-E76</f>
        <v/>
      </c>
      <c r="G77" s="3">
        <f>F77/E76</f>
        <v/>
      </c>
      <c r="H77" s="3" t="n">
        <v>3150245.49</v>
      </c>
      <c r="I77" s="3">
        <f>F77/H77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2026-10-23T06:16:39Z</dcterms:modified>
</cp:coreProperties>
</file>