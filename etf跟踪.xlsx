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t="inlineStr">
        <is>
          <t>上交所</t>
        </is>
      </c>
      <c r="B58" t="inlineStr">
        <is>
          <t>510050</t>
        </is>
      </c>
      <c r="C58" t="inlineStr">
        <is>
          <t>上证50华夏</t>
        </is>
      </c>
      <c r="D58" s="23" t="n">
        <v>46293</v>
      </c>
      <c r="E58" t="n">
        <v>736356.6800000001</v>
      </c>
      <c r="F58">
        <f>E58-E57</f>
        <v/>
      </c>
      <c r="G58">
        <f>F58/E57</f>
        <v/>
      </c>
      <c r="H58" t="n">
        <v>5666466.68</v>
      </c>
      <c r="I58">
        <f>F58/H58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t="inlineStr">
        <is>
          <t>深交所</t>
        </is>
      </c>
      <c r="B64" t="inlineStr">
        <is>
          <t>159919</t>
        </is>
      </c>
      <c r="C64" t="inlineStr">
        <is>
          <t>沪深300ETF嘉实</t>
        </is>
      </c>
      <c r="D64" s="23" t="n">
        <v>46293</v>
      </c>
      <c r="E64" t="n">
        <v>659901.66</v>
      </c>
      <c r="F64">
        <f>E64-E63</f>
        <v/>
      </c>
      <c r="G64">
        <f>F64/E63</f>
        <v/>
      </c>
      <c r="H64" t="n">
        <v>4081881.66</v>
      </c>
      <c r="I64">
        <f>F64/H64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t="inlineStr">
        <is>
          <t>上交所</t>
        </is>
      </c>
      <c r="B58" t="inlineStr">
        <is>
          <t>510300</t>
        </is>
      </c>
      <c r="C58" t="inlineStr">
        <is>
          <t>沪深300etf华泰柏瑞</t>
        </is>
      </c>
      <c r="D58" s="23" t="n">
        <v>46293</v>
      </c>
      <c r="E58" t="n">
        <v>2417808.77</v>
      </c>
      <c r="F58">
        <f>E58-E57</f>
        <v/>
      </c>
      <c r="G58">
        <f>F58/E57</f>
        <v/>
      </c>
      <c r="H58" t="n">
        <v>8882958.77</v>
      </c>
      <c r="I58">
        <f>F58/H58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反转增持</t>
        </is>
      </c>
      <c r="I2" s="13">
        <f>SUM(INDEX('510050'!$I:$I,COUNTA('510050'!$E:$E)-1+1):INDEX('510050'!$I:$I,COUNTA('510050'!$E:$E)))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连续5日增持</t>
        </is>
      </c>
      <c r="I4" s="13">
        <f>SUM(INDEX('159919'!$I:$I,COUNTA('159919'!$E:$E)-5+1):INDEX('159919'!$I:$I,COUNTA('159919'!$E:$E)))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连续3日增持</t>
        </is>
      </c>
      <c r="I5" s="13">
        <f>SUM(INDEX('159915'!$I:$I,COUNTA('159915'!$E:$E)-3+1):INDEX('159915'!$I:$I,COUNTA('159915'!$E:$E)))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t="inlineStr">
        <is>
          <t>深交所</t>
        </is>
      </c>
      <c r="B64" t="inlineStr">
        <is>
          <t>159915</t>
        </is>
      </c>
      <c r="C64" t="inlineStr">
        <is>
          <t>易方达创业板ETF</t>
        </is>
      </c>
      <c r="D64" s="23" t="n">
        <v>46293</v>
      </c>
      <c r="E64" t="n">
        <v>2086445.49</v>
      </c>
      <c r="F64">
        <f>E64-E63</f>
        <v/>
      </c>
      <c r="G64">
        <f>F64/E63</f>
        <v/>
      </c>
      <c r="H64" t="n">
        <v>3150245.49</v>
      </c>
      <c r="I64">
        <f>F64/H64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2026-09-29T00:00:53Z</dcterms:modified>
</cp:coreProperties>
</file>