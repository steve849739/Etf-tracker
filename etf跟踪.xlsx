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t="inlineStr">
        <is>
          <t>上交所</t>
        </is>
      </c>
      <c r="B54" t="inlineStr">
        <is>
          <t>510050</t>
        </is>
      </c>
      <c r="C54" t="inlineStr">
        <is>
          <t>上证50华夏</t>
        </is>
      </c>
      <c r="D54" s="23" t="n">
        <v>46286</v>
      </c>
      <c r="E54" t="n">
        <v>768936.6800000001</v>
      </c>
      <c r="F54">
        <f>E54-E53</f>
        <v/>
      </c>
      <c r="G54">
        <f>F54/E53</f>
        <v/>
      </c>
      <c r="H54" t="n">
        <v>5666466.68</v>
      </c>
      <c r="I54">
        <f>F54/H54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t="inlineStr">
        <is>
          <t>深交所</t>
        </is>
      </c>
      <c r="B60" t="inlineStr">
        <is>
          <t>159919</t>
        </is>
      </c>
      <c r="C60" t="inlineStr">
        <is>
          <t>沪深300ETF嘉实</t>
        </is>
      </c>
      <c r="D60" s="23" t="n">
        <v>46286</v>
      </c>
      <c r="E60" t="n">
        <v>633171.66</v>
      </c>
      <c r="F60">
        <f>E60-E59</f>
        <v/>
      </c>
      <c r="G60">
        <f>F60/E59</f>
        <v/>
      </c>
      <c r="H60" t="n">
        <v>4081881.66</v>
      </c>
      <c r="I60">
        <f>F60/H60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t="inlineStr">
        <is>
          <t>上交所</t>
        </is>
      </c>
      <c r="B54" t="inlineStr">
        <is>
          <t>510300</t>
        </is>
      </c>
      <c r="C54" t="inlineStr">
        <is>
          <t>沪深300etf华泰柏瑞</t>
        </is>
      </c>
      <c r="D54" s="23" t="n">
        <v>46286</v>
      </c>
      <c r="E54" t="n">
        <v>2371368.77</v>
      </c>
      <c r="F54">
        <f>E54-E53</f>
        <v/>
      </c>
      <c r="G54">
        <f>F54/E53</f>
        <v/>
      </c>
      <c r="H54" t="n">
        <v>8882958.77</v>
      </c>
      <c r="I54">
        <f>F54/H54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反转增持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连续4日减持</t>
        </is>
      </c>
      <c r="I5" s="13">
        <f>SUM(INDEX('159915'!$I:$I,COUNTA('159915'!$E:$E)-4+1):INDEX('159915'!$I:$I,COUNTA('159915'!$E:$E)))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t="inlineStr">
        <is>
          <t>深交所</t>
        </is>
      </c>
      <c r="B60" t="inlineStr">
        <is>
          <t>159915</t>
        </is>
      </c>
      <c r="C60" t="inlineStr">
        <is>
          <t>易方达创业板ETF</t>
        </is>
      </c>
      <c r="D60" s="23" t="n">
        <v>46286</v>
      </c>
      <c r="E60" t="n">
        <v>1963045.49</v>
      </c>
      <c r="F60">
        <f>E60-E59</f>
        <v/>
      </c>
      <c r="G60">
        <f>F60/E59</f>
        <v/>
      </c>
      <c r="H60" t="n">
        <v>3150245.49</v>
      </c>
      <c r="I60">
        <f>F60/H60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2026-09-22T00:01:44Z</dcterms:modified>
</cp:coreProperties>
</file>