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510050</t>
        </is>
      </c>
      <c r="C72" s="3" t="inlineStr">
        <is>
          <t>上证50华夏</t>
        </is>
      </c>
      <c r="D72" s="23" t="n">
        <v>46321</v>
      </c>
      <c r="E72" s="3" t="n">
        <v>1265736.68</v>
      </c>
      <c r="F72" s="3">
        <f>E72-E71</f>
        <v/>
      </c>
      <c r="G72" s="3">
        <f>F72/E71</f>
        <v/>
      </c>
      <c r="H72" s="3" t="n">
        <v>5666466.68</v>
      </c>
      <c r="I72" s="3">
        <f>F72/H72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159919</t>
        </is>
      </c>
      <c r="C79" s="3" t="inlineStr">
        <is>
          <t>沪深300ETF嘉实</t>
        </is>
      </c>
      <c r="D79" s="23" t="n">
        <v>46321</v>
      </c>
      <c r="E79" s="3" t="n">
        <v>1040601.66</v>
      </c>
      <c r="F79" s="3">
        <f>E79-E78</f>
        <v/>
      </c>
      <c r="G79" s="3">
        <f>F79/E78</f>
        <v/>
      </c>
      <c r="H79" s="3" t="n">
        <v>4081881.66</v>
      </c>
      <c r="I79" s="3">
        <f>F79/H79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510300</t>
        </is>
      </c>
      <c r="C73" s="3" t="inlineStr">
        <is>
          <t>沪深300etf华泰柏瑞</t>
        </is>
      </c>
      <c r="D73" s="23" t="n">
        <v>46321</v>
      </c>
      <c r="E73" s="3" t="n">
        <v>3544698.77</v>
      </c>
      <c r="F73" s="3">
        <f>E73-E72</f>
        <v/>
      </c>
      <c r="G73" s="3">
        <f>F73/E72</f>
        <v/>
      </c>
      <c r="H73" s="3" t="n">
        <v>8882958.77</v>
      </c>
      <c r="I73" s="3">
        <f>F73/H73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连续8日增持</t>
        </is>
      </c>
      <c r="I3" s="13">
        <f>SUM(INDEX('510300'!$I:$I,COUNTA('510300'!$E:$E)-8+1):INDEX('510300'!$I:$I,COUNTA('510300'!$E:$E)))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连续13日增持</t>
        </is>
      </c>
      <c r="I5" s="13">
        <f>SUM(INDEX('159915'!$I:$I,COUNTA('159915'!$E:$E)-13+1):INDEX('159915'!$I:$I,COUNTA('159915'!$E:$E)))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159915</t>
        </is>
      </c>
      <c r="C79" s="3" t="inlineStr">
        <is>
          <t>易方达创业板ETF</t>
        </is>
      </c>
      <c r="D79" s="23" t="n">
        <v>46321</v>
      </c>
      <c r="E79" s="3" t="n">
        <v>3470745.49</v>
      </c>
      <c r="F79" s="3">
        <f>E79-E78</f>
        <v/>
      </c>
      <c r="G79" s="3">
        <f>F79/E78</f>
        <v/>
      </c>
      <c r="H79" s="3" t="n">
        <v>3150245.49</v>
      </c>
      <c r="I79" s="3">
        <f>F79/H79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2026-10-27T06:35:44Z</dcterms:modified>
</cp:coreProperties>
</file>