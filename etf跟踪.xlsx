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6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B50005"/>
      </patternFill>
    </fill>
    <fill>
      <patternFill/>
    </fill>
    <fill>
      <patternFill patternType="solid">
        <fgColor rgb="00B5000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68" fontId="0" fillId="0" borderId="0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68" fontId="3" fillId="2" borderId="1" applyAlignment="1" pivotButton="0" quotePrefix="0" xfId="0">
      <alignment horizontal="center" vertical="center"/>
    </xf>
    <xf numFmtId="10" fontId="0" fillId="0" borderId="0" applyAlignment="1" pivotButton="0" quotePrefix="0" xfId="0">
      <alignment vertical="center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0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165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cols>
    <col width="8.210940000000001" customWidth="1" style="11" min="9" max="9"/>
  </cols>
  <sheetData>
    <row r="1">
      <c r="A1" s="12" t="inlineStr">
        <is>
          <t>来源</t>
        </is>
      </c>
      <c r="B1" s="12" t="inlineStr">
        <is>
          <t>代码</t>
        </is>
      </c>
      <c r="C1" s="12" t="inlineStr">
        <is>
          <t>名称</t>
        </is>
      </c>
      <c r="D1" s="12" t="inlineStr">
        <is>
          <t>日期</t>
        </is>
      </c>
      <c r="E1" s="12" t="inlineStr">
        <is>
          <t>当日公示份额（万份）</t>
        </is>
      </c>
      <c r="F1" s="12" t="inlineStr">
        <is>
          <t>当日变化</t>
        </is>
      </c>
      <c r="G1" s="12" t="inlineStr">
        <is>
          <t>环比变动比例</t>
        </is>
      </c>
      <c r="H1" s="12" t="inlineStr">
        <is>
          <t>基期总份额</t>
        </is>
      </c>
      <c r="I1" s="12" t="inlineStr">
        <is>
          <t>相对基期变动比例</t>
        </is>
      </c>
    </row>
    <row r="2">
      <c r="A2" s="13" t="inlineStr">
        <is>
          <t>上交所</t>
        </is>
      </c>
      <c r="B2" s="13" t="inlineStr">
        <is>
          <t>510050</t>
        </is>
      </c>
      <c r="C2" s="13" t="inlineStr">
        <is>
          <t>上证50华夏</t>
        </is>
      </c>
      <c r="D2" s="14" t="n">
        <v>46204</v>
      </c>
      <c r="E2" s="13" t="n">
        <v>638886.6800000001</v>
      </c>
      <c r="H2" s="13" t="n">
        <v>5666466.68</v>
      </c>
    </row>
    <row r="3">
      <c r="A3" s="13" t="inlineStr">
        <is>
          <t>上交所</t>
        </is>
      </c>
      <c r="B3" s="13" t="inlineStr">
        <is>
          <t>510050</t>
        </is>
      </c>
      <c r="C3" s="13" t="inlineStr">
        <is>
          <t>上证50华夏</t>
        </is>
      </c>
      <c r="D3" s="14" t="n">
        <v>46205</v>
      </c>
      <c r="E3" s="13" t="n">
        <v>667596.6800000001</v>
      </c>
      <c r="F3" s="13">
        <f>=E3-E2</f>
        <v/>
      </c>
      <c r="G3" s="13">
        <f>=F3/E2</f>
        <v/>
      </c>
      <c r="H3" s="13" t="n">
        <v>5666466.68</v>
      </c>
      <c r="I3" s="13">
        <f>=F3/H3</f>
        <v/>
      </c>
    </row>
    <row r="4">
      <c r="A4" s="13" t="inlineStr">
        <is>
          <t>上交所</t>
        </is>
      </c>
      <c r="B4" s="13" t="inlineStr">
        <is>
          <t>510050</t>
        </is>
      </c>
      <c r="C4" s="13" t="inlineStr">
        <is>
          <t>上证50华夏</t>
        </is>
      </c>
      <c r="D4" s="14" t="n">
        <v>46206</v>
      </c>
      <c r="E4" s="13" t="n">
        <v>653736.6800000001</v>
      </c>
      <c r="F4" s="13">
        <f>=E4-E3</f>
        <v/>
      </c>
      <c r="G4" s="13">
        <f>=F4/E3</f>
        <v/>
      </c>
      <c r="H4" s="13" t="n">
        <v>5666466.68</v>
      </c>
      <c r="I4" s="13">
        <f>=F4/H4</f>
        <v/>
      </c>
    </row>
    <row r="5">
      <c r="A5" s="13" t="inlineStr">
        <is>
          <t>上交所</t>
        </is>
      </c>
      <c r="B5" s="13" t="inlineStr">
        <is>
          <t>510050</t>
        </is>
      </c>
      <c r="C5" s="13" t="inlineStr">
        <is>
          <t>上证50华夏</t>
        </is>
      </c>
      <c r="D5" s="14" t="n">
        <v>46209</v>
      </c>
      <c r="E5" s="13" t="n">
        <v>640506.6800000001</v>
      </c>
      <c r="F5" s="13">
        <f>=E5-E4</f>
        <v/>
      </c>
      <c r="G5" s="13">
        <f>=F5/E4</f>
        <v/>
      </c>
      <c r="H5" s="13" t="n">
        <v>5666466.68</v>
      </c>
      <c r="I5" s="13">
        <f>=F5/H5</f>
        <v/>
      </c>
    </row>
    <row r="6">
      <c r="A6" s="13" t="inlineStr">
        <is>
          <t>上交所</t>
        </is>
      </c>
      <c r="B6" s="13" t="inlineStr">
        <is>
          <t>510050</t>
        </is>
      </c>
      <c r="C6" s="13" t="inlineStr">
        <is>
          <t>上证50华夏</t>
        </is>
      </c>
      <c r="D6" s="14" t="n">
        <v>46210</v>
      </c>
      <c r="E6" s="13" t="n">
        <v>654456.6800000001</v>
      </c>
      <c r="F6" s="13">
        <f>=E6-E5</f>
        <v/>
      </c>
      <c r="G6" s="13">
        <f>=F6/E5</f>
        <v/>
      </c>
      <c r="H6" s="13" t="n">
        <v>5666466.68</v>
      </c>
      <c r="I6" s="13">
        <f>=F6/H6</f>
        <v/>
      </c>
    </row>
    <row r="7">
      <c r="A7" s="13" t="inlineStr">
        <is>
          <t>上交所</t>
        </is>
      </c>
      <c r="B7" s="13" t="inlineStr">
        <is>
          <t>510050</t>
        </is>
      </c>
      <c r="C7" s="13" t="inlineStr">
        <is>
          <t>上证50华夏</t>
        </is>
      </c>
      <c r="D7" s="14" t="n">
        <v>46211</v>
      </c>
      <c r="E7" s="13" t="n">
        <v>659586.6800000001</v>
      </c>
      <c r="F7" s="13">
        <f>=E7-E6</f>
        <v/>
      </c>
      <c r="G7" s="13">
        <f>=F7/E6</f>
        <v/>
      </c>
      <c r="H7" s="13" t="n">
        <v>5666466.68</v>
      </c>
      <c r="I7" s="13">
        <f>=F7/H7</f>
        <v/>
      </c>
    </row>
    <row r="8">
      <c r="A8" s="13" t="inlineStr">
        <is>
          <t>上交所</t>
        </is>
      </c>
      <c r="B8" s="13" t="inlineStr">
        <is>
          <t>510050</t>
        </is>
      </c>
      <c r="C8" s="13" t="inlineStr">
        <is>
          <t>上证50华夏</t>
        </is>
      </c>
      <c r="D8" s="14" t="n">
        <v>46212</v>
      </c>
      <c r="E8" s="13" t="n">
        <v>658686.6800000001</v>
      </c>
      <c r="F8" s="13">
        <f>=E8-E7</f>
        <v/>
      </c>
      <c r="G8" s="13">
        <f>=F8/E7</f>
        <v/>
      </c>
      <c r="H8" s="13" t="n">
        <v>5666466.68</v>
      </c>
      <c r="I8" s="13">
        <f>=F8/H8</f>
        <v/>
      </c>
    </row>
    <row r="9">
      <c r="A9" s="13" t="inlineStr">
        <is>
          <t>上交所</t>
        </is>
      </c>
      <c r="B9" s="13" t="inlineStr">
        <is>
          <t>510050</t>
        </is>
      </c>
      <c r="C9" s="13" t="inlineStr">
        <is>
          <t>上证50华夏</t>
        </is>
      </c>
      <c r="D9" s="14" t="n">
        <v>46213</v>
      </c>
      <c r="E9" s="13" t="n">
        <v>640866.6800000001</v>
      </c>
      <c r="F9" s="13">
        <f>=E9-E8</f>
        <v/>
      </c>
      <c r="G9" s="13">
        <f>=F9/E8</f>
        <v/>
      </c>
      <c r="H9" s="13" t="n">
        <v>5666466.68</v>
      </c>
      <c r="I9" s="13">
        <f>=F9/H9</f>
        <v/>
      </c>
    </row>
    <row r="10">
      <c r="A10" s="13" t="inlineStr">
        <is>
          <t>上交所</t>
        </is>
      </c>
      <c r="B10" s="13" t="inlineStr">
        <is>
          <t>510050</t>
        </is>
      </c>
      <c r="C10" s="13" t="inlineStr">
        <is>
          <t>上证50华夏</t>
        </is>
      </c>
      <c r="D10" s="14" t="n">
        <v>46216</v>
      </c>
      <c r="E10" s="13" t="n">
        <v>666786.6800000001</v>
      </c>
      <c r="F10" s="13">
        <f>=E10-E9</f>
        <v/>
      </c>
      <c r="G10" s="13">
        <f>=F10/E9</f>
        <v/>
      </c>
      <c r="H10" s="13" t="n">
        <v>5666466.68</v>
      </c>
      <c r="I10" s="13">
        <f>=F10/H10</f>
        <v/>
      </c>
    </row>
    <row r="11">
      <c r="A11" s="13" t="inlineStr">
        <is>
          <t>上交所</t>
        </is>
      </c>
      <c r="B11" s="13" t="inlineStr">
        <is>
          <t>510050</t>
        </is>
      </c>
      <c r="C11" s="13" t="inlineStr">
        <is>
          <t>上证50华夏</t>
        </is>
      </c>
      <c r="D11" s="14" t="n">
        <v>46217</v>
      </c>
      <c r="E11" s="13" t="n">
        <v>685236.6800000001</v>
      </c>
      <c r="F11" s="13">
        <f>=E11-E10</f>
        <v/>
      </c>
      <c r="G11" s="13">
        <f>=F11/E10</f>
        <v/>
      </c>
      <c r="H11" s="13" t="n">
        <v>5666466.68</v>
      </c>
      <c r="I11" s="13">
        <f>=F11/H11</f>
        <v/>
      </c>
    </row>
    <row r="12">
      <c r="A12" s="13" t="inlineStr">
        <is>
          <t>上交所</t>
        </is>
      </c>
      <c r="B12" s="13" t="inlineStr">
        <is>
          <t>510050</t>
        </is>
      </c>
      <c r="C12" s="13" t="inlineStr">
        <is>
          <t>上证50华夏</t>
        </is>
      </c>
      <c r="D12" s="14" t="n">
        <v>46218</v>
      </c>
      <c r="E12" s="13" t="n">
        <v>726006.6800000001</v>
      </c>
      <c r="F12" s="13">
        <f>=E12-E11</f>
        <v/>
      </c>
      <c r="G12" s="13">
        <f>=F12/E11</f>
        <v/>
      </c>
      <c r="H12" s="13" t="n">
        <v>5666466.68</v>
      </c>
      <c r="I12" s="13">
        <f>=F12/H12</f>
        <v/>
      </c>
    </row>
    <row r="13">
      <c r="A13" s="13" t="inlineStr">
        <is>
          <t>上交所</t>
        </is>
      </c>
      <c r="B13" s="13" t="inlineStr">
        <is>
          <t>510050</t>
        </is>
      </c>
      <c r="C13" s="13" t="inlineStr">
        <is>
          <t>上证50华夏</t>
        </is>
      </c>
      <c r="D13" s="14" t="n">
        <v>46219</v>
      </c>
      <c r="E13" s="13" t="n">
        <v>815016.6800000001</v>
      </c>
      <c r="F13" s="13">
        <f>=E13-E12</f>
        <v/>
      </c>
      <c r="G13" s="13">
        <f>=F13/E12</f>
        <v/>
      </c>
      <c r="H13" s="13" t="n">
        <v>5666466.68</v>
      </c>
      <c r="I13" s="13">
        <f>=F13/H13</f>
        <v/>
      </c>
    </row>
    <row r="14">
      <c r="A14" s="13" t="inlineStr">
        <is>
          <t>上交所</t>
        </is>
      </c>
      <c r="B14" s="13" t="inlineStr">
        <is>
          <t>510050</t>
        </is>
      </c>
      <c r="C14" s="13" t="inlineStr">
        <is>
          <t>上证50华夏</t>
        </is>
      </c>
      <c r="D14" s="14" t="n">
        <v>46220</v>
      </c>
      <c r="E14" s="13" t="n">
        <v>823746.6800000001</v>
      </c>
      <c r="F14" s="13">
        <f>=E14-E13</f>
        <v/>
      </c>
      <c r="G14" s="13">
        <f>=F14/E13</f>
        <v/>
      </c>
      <c r="H14" s="13" t="n">
        <v>5666466.68</v>
      </c>
      <c r="I14" s="13">
        <f>=F14/H14</f>
        <v/>
      </c>
    </row>
    <row r="15">
      <c r="A15" s="13" t="inlineStr">
        <is>
          <t>上交所</t>
        </is>
      </c>
      <c r="B15" s="13" t="inlineStr">
        <is>
          <t>510050</t>
        </is>
      </c>
      <c r="C15" s="13" t="inlineStr">
        <is>
          <t>上证50华夏</t>
        </is>
      </c>
      <c r="D15" s="14" t="n">
        <v>46223</v>
      </c>
      <c r="E15" s="13" t="n">
        <v>832206.6800000001</v>
      </c>
      <c r="F15" s="13">
        <f>=E15-E14</f>
        <v/>
      </c>
      <c r="G15" s="13">
        <f>=F15/E14</f>
        <v/>
      </c>
      <c r="H15" s="13" t="n">
        <v>5666466.68</v>
      </c>
      <c r="I15" s="13">
        <f>=F15/H15</f>
        <v/>
      </c>
    </row>
    <row r="16">
      <c r="A16" s="13" t="inlineStr">
        <is>
          <t>上交所</t>
        </is>
      </c>
      <c r="B16" s="13" t="inlineStr">
        <is>
          <t>510050</t>
        </is>
      </c>
      <c r="C16" s="13" t="inlineStr">
        <is>
          <t>上证50华夏</t>
        </is>
      </c>
      <c r="D16" s="14" t="n">
        <v>46224</v>
      </c>
      <c r="E16" s="13" t="n">
        <v>747606.6800000001</v>
      </c>
      <c r="F16" s="13">
        <f>=E16-E15</f>
        <v/>
      </c>
      <c r="G16" s="13">
        <f>=F16/E15</f>
        <v/>
      </c>
      <c r="H16" s="13" t="n">
        <v>5666466.68</v>
      </c>
      <c r="I16" s="13">
        <f>=F16/H16</f>
        <v/>
      </c>
    </row>
    <row r="17">
      <c r="A17" s="13" t="inlineStr">
        <is>
          <t>上交所</t>
        </is>
      </c>
      <c r="B17" s="13" t="inlineStr">
        <is>
          <t>510050</t>
        </is>
      </c>
      <c r="C17" s="13" t="inlineStr">
        <is>
          <t>上证50华夏</t>
        </is>
      </c>
      <c r="D17" s="14" t="n">
        <v>46225</v>
      </c>
      <c r="E17" s="13" t="n">
        <v>747516.6800000001</v>
      </c>
      <c r="F17" s="13">
        <f>=E17-E16</f>
        <v/>
      </c>
      <c r="G17" s="13">
        <f>=F17/E16</f>
        <v/>
      </c>
      <c r="H17" s="13" t="n">
        <v>5666466.68</v>
      </c>
      <c r="I17" s="13">
        <f>=F17/H17</f>
        <v/>
      </c>
    </row>
    <row r="18">
      <c r="A18" s="13" t="inlineStr">
        <is>
          <t>上交所</t>
        </is>
      </c>
      <c r="B18" s="13" t="inlineStr">
        <is>
          <t>510050</t>
        </is>
      </c>
      <c r="C18" s="13" t="inlineStr">
        <is>
          <t>上证50华夏</t>
        </is>
      </c>
      <c r="D18" s="14" t="n">
        <v>46226</v>
      </c>
      <c r="E18" s="13" t="n">
        <v>782976.6800000001</v>
      </c>
      <c r="F18" s="13">
        <f>=E18-E17</f>
        <v/>
      </c>
      <c r="G18" s="13">
        <f>=F18/E17</f>
        <v/>
      </c>
      <c r="H18" s="13" t="n">
        <v>5666466.68</v>
      </c>
      <c r="I18" s="13">
        <f>=F18/H18</f>
        <v/>
      </c>
    </row>
    <row r="19">
      <c r="A19" s="13" t="inlineStr">
        <is>
          <t>上交所</t>
        </is>
      </c>
      <c r="B19" s="13" t="inlineStr">
        <is>
          <t>510050</t>
        </is>
      </c>
      <c r="C19" s="13" t="inlineStr">
        <is>
          <t>上证50华夏</t>
        </is>
      </c>
      <c r="D19" s="14" t="n">
        <v>46227</v>
      </c>
      <c r="E19" s="13" t="n">
        <v>744006.6800000001</v>
      </c>
      <c r="F19" s="13">
        <f>=E19-E18</f>
        <v/>
      </c>
      <c r="G19" s="13">
        <f>=F19/E18</f>
        <v/>
      </c>
      <c r="H19" s="13" t="n">
        <v>5666466.68</v>
      </c>
      <c r="I19" s="13">
        <f>=F19/H19</f>
        <v/>
      </c>
    </row>
    <row r="20">
      <c r="A20" s="13" t="inlineStr">
        <is>
          <t>上交所</t>
        </is>
      </c>
      <c r="B20" s="13" t="inlineStr">
        <is>
          <t>510050</t>
        </is>
      </c>
      <c r="C20" s="13" t="inlineStr">
        <is>
          <t>上证50华夏</t>
        </is>
      </c>
      <c r="D20" s="14" t="n">
        <v>46230</v>
      </c>
      <c r="E20" s="13" t="n">
        <v>761916.6800000001</v>
      </c>
      <c r="F20" s="13">
        <f>=E20-E19</f>
        <v/>
      </c>
      <c r="G20" s="13">
        <f>=F20/E19</f>
        <v/>
      </c>
      <c r="H20" s="13" t="n">
        <v>5666466.68</v>
      </c>
      <c r="I20" s="13">
        <f>=F20/H20</f>
        <v/>
      </c>
    </row>
    <row r="21">
      <c r="A21" s="13" t="inlineStr">
        <is>
          <t>上交所</t>
        </is>
      </c>
      <c r="B21" s="13" t="inlineStr">
        <is>
          <t>510050</t>
        </is>
      </c>
      <c r="C21" s="13" t="inlineStr">
        <is>
          <t>上证50华夏</t>
        </is>
      </c>
      <c r="D21" s="14" t="n">
        <v>46231</v>
      </c>
      <c r="E21" s="13" t="n">
        <v>753096.6800000001</v>
      </c>
      <c r="F21" s="13">
        <f>=E21-E20</f>
        <v/>
      </c>
      <c r="G21" s="13">
        <f>=F21/E20</f>
        <v/>
      </c>
      <c r="H21" s="13" t="n">
        <v>5666466.68</v>
      </c>
      <c r="I21" s="13">
        <f>=F21/H21</f>
        <v/>
      </c>
    </row>
    <row r="22">
      <c r="A22" s="13" t="inlineStr">
        <is>
          <t>上交所</t>
        </is>
      </c>
      <c r="B22" s="13" t="inlineStr">
        <is>
          <t>510050</t>
        </is>
      </c>
      <c r="C22" s="13" t="inlineStr">
        <is>
          <t>上证50华夏</t>
        </is>
      </c>
      <c r="D22" s="14" t="n">
        <v>46232</v>
      </c>
      <c r="E22" s="13" t="n">
        <v>734016.6800000001</v>
      </c>
      <c r="F22" s="13">
        <f>=E22-E21</f>
        <v/>
      </c>
      <c r="G22" s="13">
        <f>=F22/E21</f>
        <v/>
      </c>
      <c r="H22" s="13" t="n">
        <v>5666466.68</v>
      </c>
      <c r="I22" s="13">
        <f>=F22/H22</f>
        <v/>
      </c>
    </row>
    <row r="23">
      <c r="A23" s="13" t="inlineStr">
        <is>
          <t>上交所</t>
        </is>
      </c>
      <c r="B23" s="13" t="inlineStr">
        <is>
          <t>510050</t>
        </is>
      </c>
      <c r="C23" s="13" t="inlineStr">
        <is>
          <t>上证50华夏</t>
        </is>
      </c>
      <c r="D23" s="14" t="n">
        <v>46233</v>
      </c>
      <c r="E23" s="13" t="n">
        <v>714486.6800000001</v>
      </c>
      <c r="F23" s="13">
        <f>=E23-E22</f>
        <v/>
      </c>
      <c r="G23" s="13">
        <f>=F23/E22</f>
        <v/>
      </c>
      <c r="H23" s="13" t="n">
        <v>5666466.68</v>
      </c>
      <c r="I23" s="13">
        <f>=F23/H23</f>
        <v/>
      </c>
    </row>
    <row r="24">
      <c r="A24" s="13" t="inlineStr">
        <is>
          <t>上交所</t>
        </is>
      </c>
      <c r="B24" s="13" t="inlineStr">
        <is>
          <t>510050</t>
        </is>
      </c>
      <c r="C24" s="13" t="inlineStr">
        <is>
          <t>上证50华夏</t>
        </is>
      </c>
      <c r="D24" s="14" t="n">
        <v>46234</v>
      </c>
      <c r="E24" s="13" t="n">
        <v>721416.6800000001</v>
      </c>
      <c r="F24" s="13">
        <f>=E24-E23</f>
        <v/>
      </c>
      <c r="G24" s="13">
        <f>=F24/E23</f>
        <v/>
      </c>
      <c r="H24" s="13" t="n">
        <v>5666466.68</v>
      </c>
      <c r="I24" s="13">
        <f>=F24/H24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sheetData>
    <row r="1">
      <c r="A1" s="12" t="inlineStr">
        <is>
          <t>来源</t>
        </is>
      </c>
      <c r="B1" s="12" t="inlineStr">
        <is>
          <t>代码</t>
        </is>
      </c>
      <c r="C1" s="12" t="inlineStr">
        <is>
          <t>名称</t>
        </is>
      </c>
      <c r="D1" s="12" t="inlineStr">
        <is>
          <t>日期</t>
        </is>
      </c>
      <c r="E1" s="12" t="inlineStr">
        <is>
          <t>当日公示份额（万份）</t>
        </is>
      </c>
      <c r="F1" s="12" t="inlineStr">
        <is>
          <t>当日变化</t>
        </is>
      </c>
      <c r="G1" s="12" t="inlineStr">
        <is>
          <t>环比变动比例</t>
        </is>
      </c>
      <c r="H1" s="12" t="inlineStr">
        <is>
          <t>基期总份额</t>
        </is>
      </c>
      <c r="I1" s="12" t="inlineStr">
        <is>
          <t>相对基期变动比例</t>
        </is>
      </c>
    </row>
    <row r="2">
      <c r="A2" s="13" t="inlineStr">
        <is>
          <t>深交所</t>
        </is>
      </c>
      <c r="B2" s="13" t="inlineStr">
        <is>
          <t>159919</t>
        </is>
      </c>
      <c r="C2" s="13" t="inlineStr">
        <is>
          <t>沪深300ETF嘉实</t>
        </is>
      </c>
      <c r="D2" s="14" t="n">
        <v>46204</v>
      </c>
      <c r="E2" s="13" t="n">
        <v>655491.66</v>
      </c>
      <c r="H2" s="13" t="n">
        <v>4081881.66</v>
      </c>
    </row>
    <row r="3">
      <c r="A3" s="13" t="inlineStr">
        <is>
          <t>深交所</t>
        </is>
      </c>
      <c r="B3" s="13" t="inlineStr">
        <is>
          <t>159919</t>
        </is>
      </c>
      <c r="C3" s="13" t="inlineStr">
        <is>
          <t>沪深300ETF嘉实</t>
        </is>
      </c>
      <c r="D3" s="14" t="n">
        <v>46205</v>
      </c>
      <c r="E3" s="13" t="n">
        <v>631911.66</v>
      </c>
      <c r="F3" s="13">
        <f>=E3-E2</f>
        <v/>
      </c>
      <c r="G3" s="13">
        <f>=F3/E2</f>
        <v/>
      </c>
      <c r="H3" s="13" t="n">
        <v>4081881.66</v>
      </c>
      <c r="I3" s="13">
        <f>=F3/H3</f>
        <v/>
      </c>
    </row>
    <row r="4">
      <c r="A4" s="13" t="inlineStr">
        <is>
          <t>深交所</t>
        </is>
      </c>
      <c r="B4" s="13" t="inlineStr">
        <is>
          <t>159919</t>
        </is>
      </c>
      <c r="C4" s="13" t="inlineStr">
        <is>
          <t>沪深300ETF嘉实</t>
        </is>
      </c>
      <c r="D4" s="14" t="n">
        <v>46206</v>
      </c>
      <c r="E4" s="13" t="n">
        <v>542811.66</v>
      </c>
      <c r="F4" s="13">
        <f>=E4-E3</f>
        <v/>
      </c>
      <c r="G4" s="13">
        <f>=F4/E3</f>
        <v/>
      </c>
      <c r="H4" s="13" t="n">
        <v>4081881.66</v>
      </c>
      <c r="I4" s="13">
        <f>=F4/H4</f>
        <v/>
      </c>
    </row>
    <row r="5">
      <c r="A5" s="13" t="inlineStr">
        <is>
          <t>深交所</t>
        </is>
      </c>
      <c r="B5" s="13" t="inlineStr">
        <is>
          <t>159919</t>
        </is>
      </c>
      <c r="C5" s="13" t="inlineStr">
        <is>
          <t>沪深300ETF嘉实</t>
        </is>
      </c>
      <c r="D5" s="14" t="n">
        <v>46209</v>
      </c>
      <c r="E5" s="13" t="n">
        <v>536151.66</v>
      </c>
      <c r="F5" s="13">
        <f>=E5-E4</f>
        <v/>
      </c>
      <c r="G5" s="13">
        <f>=F5/E4</f>
        <v/>
      </c>
      <c r="H5" s="13" t="n">
        <v>4081881.66</v>
      </c>
      <c r="I5" s="13">
        <f>=F5/H5</f>
        <v/>
      </c>
    </row>
    <row r="6">
      <c r="A6" s="13" t="inlineStr">
        <is>
          <t>深交所</t>
        </is>
      </c>
      <c r="B6" s="13" t="inlineStr">
        <is>
          <t>159919</t>
        </is>
      </c>
      <c r="C6" s="13" t="inlineStr">
        <is>
          <t>沪深300ETF嘉实</t>
        </is>
      </c>
      <c r="D6" s="14" t="n">
        <v>46210</v>
      </c>
      <c r="E6" s="13" t="n">
        <v>535611.66</v>
      </c>
      <c r="F6" s="13">
        <f>=E6-E5</f>
        <v/>
      </c>
      <c r="G6" s="13">
        <f>=F6/E5</f>
        <v/>
      </c>
      <c r="H6" s="13" t="n">
        <v>4081881.66</v>
      </c>
      <c r="I6" s="13">
        <f>=F6/H6</f>
        <v/>
      </c>
    </row>
    <row r="7">
      <c r="A7" s="13" t="inlineStr">
        <is>
          <t>深交所</t>
        </is>
      </c>
      <c r="B7" s="13" t="inlineStr">
        <is>
          <t>159919</t>
        </is>
      </c>
      <c r="C7" s="13" t="inlineStr">
        <is>
          <t>沪深300ETF嘉实</t>
        </is>
      </c>
      <c r="D7" s="14" t="n">
        <v>46211</v>
      </c>
      <c r="E7" s="13" t="n">
        <v>536871.66</v>
      </c>
      <c r="F7" s="13">
        <f>=E7-E6</f>
        <v/>
      </c>
      <c r="G7" s="13">
        <f>=F7/E6</f>
        <v/>
      </c>
      <c r="H7" s="13" t="n">
        <v>4081881.66</v>
      </c>
      <c r="I7" s="13">
        <f>=F7/H7</f>
        <v/>
      </c>
    </row>
    <row r="8">
      <c r="A8" s="13" t="inlineStr">
        <is>
          <t>深交所</t>
        </is>
      </c>
      <c r="B8" s="13" t="inlineStr">
        <is>
          <t>159919</t>
        </is>
      </c>
      <c r="C8" s="13" t="inlineStr">
        <is>
          <t>沪深300ETF嘉实</t>
        </is>
      </c>
      <c r="D8" s="14" t="n">
        <v>46212</v>
      </c>
      <c r="E8" s="13" t="n">
        <v>534351.66</v>
      </c>
      <c r="F8" s="13">
        <f>=E8-E7</f>
        <v/>
      </c>
      <c r="G8" s="13">
        <f>=F8/E7</f>
        <v/>
      </c>
      <c r="H8" s="13" t="n">
        <v>4081881.66</v>
      </c>
      <c r="I8" s="13">
        <f>=F8/H8</f>
        <v/>
      </c>
    </row>
    <row r="9">
      <c r="A9" s="13" t="inlineStr">
        <is>
          <t>深交所</t>
        </is>
      </c>
      <c r="B9" s="13" t="inlineStr">
        <is>
          <t>159919</t>
        </is>
      </c>
      <c r="C9" s="13" t="inlineStr">
        <is>
          <t>沪深300ETF嘉实</t>
        </is>
      </c>
      <c r="D9" s="14" t="n">
        <v>46213</v>
      </c>
      <c r="E9" s="13" t="n">
        <v>538041.66</v>
      </c>
      <c r="F9" s="13">
        <f>=E9-E8</f>
        <v/>
      </c>
      <c r="G9" s="13">
        <f>=F9/E8</f>
        <v/>
      </c>
      <c r="H9" s="13" t="n">
        <v>4081881.66</v>
      </c>
      <c r="I9" s="13">
        <f>=F9/H9</f>
        <v/>
      </c>
    </row>
    <row r="10">
      <c r="A10" s="13" t="inlineStr">
        <is>
          <t>深交所</t>
        </is>
      </c>
      <c r="B10" s="13" t="inlineStr">
        <is>
          <t>159919</t>
        </is>
      </c>
      <c r="C10" s="13" t="inlineStr">
        <is>
          <t>沪深300ETF嘉实</t>
        </is>
      </c>
      <c r="D10" s="14" t="n">
        <v>46216</v>
      </c>
      <c r="E10" s="13" t="n">
        <v>560991.66</v>
      </c>
      <c r="F10" s="13">
        <f>=E10-E9</f>
        <v/>
      </c>
      <c r="G10" s="13">
        <f>=F10/E9</f>
        <v/>
      </c>
      <c r="H10" s="13" t="n">
        <v>4081881.66</v>
      </c>
      <c r="I10" s="13">
        <f>=F10/H10</f>
        <v/>
      </c>
    </row>
    <row r="11">
      <c r="A11" s="13" t="inlineStr">
        <is>
          <t>深交所</t>
        </is>
      </c>
      <c r="B11" s="13" t="inlineStr">
        <is>
          <t>159919</t>
        </is>
      </c>
      <c r="C11" s="13" t="inlineStr">
        <is>
          <t>沪深300ETF嘉实</t>
        </is>
      </c>
      <c r="D11" s="14" t="n">
        <v>46217</v>
      </c>
      <c r="E11" s="13" t="n">
        <v>561441.66</v>
      </c>
      <c r="F11" s="13">
        <f>=E11-E10</f>
        <v/>
      </c>
      <c r="G11" s="13">
        <f>=F11/E10</f>
        <v/>
      </c>
      <c r="H11" s="13" t="n">
        <v>4081881.66</v>
      </c>
      <c r="I11" s="13">
        <f>=F11/H11</f>
        <v/>
      </c>
    </row>
    <row r="12">
      <c r="A12" s="13" t="inlineStr">
        <is>
          <t>深交所</t>
        </is>
      </c>
      <c r="B12" s="13" t="inlineStr">
        <is>
          <t>159919</t>
        </is>
      </c>
      <c r="C12" s="13" t="inlineStr">
        <is>
          <t>沪深300ETF嘉实</t>
        </is>
      </c>
      <c r="D12" s="14" t="n">
        <v>46218</v>
      </c>
      <c r="E12" s="13" t="n">
        <v>556941.66</v>
      </c>
      <c r="F12" s="13">
        <f>=E12-E11</f>
        <v/>
      </c>
      <c r="G12" s="13">
        <f>=F12/E11</f>
        <v/>
      </c>
      <c r="H12" s="13" t="n">
        <v>4081881.66</v>
      </c>
      <c r="I12" s="13">
        <f>=F12/H12</f>
        <v/>
      </c>
    </row>
    <row r="13">
      <c r="A13" s="13" t="inlineStr">
        <is>
          <t>深交所</t>
        </is>
      </c>
      <c r="B13" s="13" t="inlineStr">
        <is>
          <t>159919</t>
        </is>
      </c>
      <c r="C13" s="13" t="inlineStr">
        <is>
          <t>沪深300ETF嘉实</t>
        </is>
      </c>
      <c r="D13" s="14" t="n">
        <v>46219</v>
      </c>
      <c r="E13" s="13" t="n">
        <v>568371.66</v>
      </c>
      <c r="F13" s="13">
        <f>=E13-E12</f>
        <v/>
      </c>
      <c r="G13" s="13">
        <f>=F13/E12</f>
        <v/>
      </c>
      <c r="H13" s="13" t="n">
        <v>4081881.66</v>
      </c>
      <c r="I13" s="13">
        <f>=F13/H13</f>
        <v/>
      </c>
    </row>
    <row r="14">
      <c r="A14" s="13" t="inlineStr">
        <is>
          <t>深交所</t>
        </is>
      </c>
      <c r="B14" s="13" t="inlineStr">
        <is>
          <t>159919</t>
        </is>
      </c>
      <c r="C14" s="13" t="inlineStr">
        <is>
          <t>沪深300ETF嘉实</t>
        </is>
      </c>
      <c r="D14" s="14" t="n">
        <v>46220</v>
      </c>
      <c r="E14" s="13" t="n">
        <v>623901.66</v>
      </c>
      <c r="F14" s="13">
        <f>=E14-E13</f>
        <v/>
      </c>
      <c r="G14" s="13">
        <f>=F14/E13</f>
        <v/>
      </c>
      <c r="H14" s="13" t="n">
        <v>4081881.66</v>
      </c>
      <c r="I14" s="13">
        <f>=F14/H14</f>
        <v/>
      </c>
    </row>
    <row r="15">
      <c r="A15" s="13" t="inlineStr">
        <is>
          <t>深交所</t>
        </is>
      </c>
      <c r="B15" s="13" t="inlineStr">
        <is>
          <t>159919</t>
        </is>
      </c>
      <c r="C15" s="13" t="inlineStr">
        <is>
          <t>沪深300ETF嘉实</t>
        </is>
      </c>
      <c r="D15" s="14" t="n">
        <v>46223</v>
      </c>
      <c r="E15" s="13" t="n">
        <v>637401.66</v>
      </c>
      <c r="F15" s="13">
        <f>=E15-E14</f>
        <v/>
      </c>
      <c r="G15" s="13">
        <f>=F15/E14</f>
        <v/>
      </c>
      <c r="H15" s="13" t="n">
        <v>4081881.66</v>
      </c>
      <c r="I15" s="13">
        <f>=F15/H15</f>
        <v/>
      </c>
    </row>
    <row r="16">
      <c r="A16" s="13" t="inlineStr">
        <is>
          <t>深交所</t>
        </is>
      </c>
      <c r="B16" s="13" t="inlineStr">
        <is>
          <t>159919</t>
        </is>
      </c>
      <c r="C16" s="13" t="inlineStr">
        <is>
          <t>沪深300ETF嘉实</t>
        </is>
      </c>
      <c r="D16" s="14" t="n">
        <v>46224</v>
      </c>
      <c r="E16" s="13" t="n">
        <v>619491.66</v>
      </c>
      <c r="F16" s="13">
        <f>=E16-E15</f>
        <v/>
      </c>
      <c r="G16" s="13">
        <f>=F16/E15</f>
        <v/>
      </c>
      <c r="H16" s="13" t="n">
        <v>4081881.66</v>
      </c>
      <c r="I16" s="13">
        <f>=F16/H16</f>
        <v/>
      </c>
    </row>
    <row r="17">
      <c r="A17" s="13" t="inlineStr">
        <is>
          <t>深交所</t>
        </is>
      </c>
      <c r="B17" s="13" t="inlineStr">
        <is>
          <t>159919</t>
        </is>
      </c>
      <c r="C17" s="13" t="inlineStr">
        <is>
          <t>沪深300ETF嘉实</t>
        </is>
      </c>
      <c r="D17" s="14" t="n">
        <v>46225</v>
      </c>
      <c r="E17" s="13" t="n">
        <v>618231.66</v>
      </c>
      <c r="F17" s="13">
        <f>=E17-E16</f>
        <v/>
      </c>
      <c r="G17" s="13">
        <f>=F17/E16</f>
        <v/>
      </c>
      <c r="H17" s="13" t="n">
        <v>4081881.66</v>
      </c>
      <c r="I17" s="13">
        <f>=F17/H17</f>
        <v/>
      </c>
    </row>
    <row r="18">
      <c r="A18" s="13" t="inlineStr">
        <is>
          <t>深交所</t>
        </is>
      </c>
      <c r="B18" s="13" t="inlineStr">
        <is>
          <t>159919</t>
        </is>
      </c>
      <c r="C18" s="13" t="inlineStr">
        <is>
          <t>沪深300ETF嘉实</t>
        </is>
      </c>
      <c r="D18" s="14" t="n">
        <v>46226</v>
      </c>
      <c r="E18" s="13" t="n">
        <v>619221.66</v>
      </c>
      <c r="F18" s="13">
        <f>=E18-E17</f>
        <v/>
      </c>
      <c r="G18" s="13">
        <f>=F18/E17</f>
        <v/>
      </c>
      <c r="H18" s="13" t="n">
        <v>4081881.66</v>
      </c>
      <c r="I18" s="13">
        <f>=F18/H18</f>
        <v/>
      </c>
    </row>
    <row r="19">
      <c r="A19" s="13" t="inlineStr">
        <is>
          <t>深交所</t>
        </is>
      </c>
      <c r="B19" s="13" t="inlineStr">
        <is>
          <t>159919</t>
        </is>
      </c>
      <c r="C19" s="13" t="inlineStr">
        <is>
          <t>沪深300ETF嘉实</t>
        </is>
      </c>
      <c r="D19" s="14" t="n">
        <v>46227</v>
      </c>
      <c r="E19" s="13" t="n">
        <v>624441.66</v>
      </c>
      <c r="F19" s="13">
        <f>=E19-E18</f>
        <v/>
      </c>
      <c r="G19" s="13">
        <f>=F19/E18</f>
        <v/>
      </c>
      <c r="H19" s="13" t="n">
        <v>4081881.66</v>
      </c>
      <c r="I19" s="13">
        <f>=F19/H19</f>
        <v/>
      </c>
    </row>
    <row r="20">
      <c r="A20" s="13" t="inlineStr">
        <is>
          <t>深交所</t>
        </is>
      </c>
      <c r="B20" s="13" t="inlineStr">
        <is>
          <t>159919</t>
        </is>
      </c>
      <c r="C20" s="13" t="inlineStr">
        <is>
          <t>沪深300ETF嘉实</t>
        </is>
      </c>
      <c r="D20" s="14" t="n">
        <v>46230</v>
      </c>
      <c r="E20" s="13" t="n">
        <v>629031.66</v>
      </c>
      <c r="F20" s="13">
        <f>=E20-E19</f>
        <v/>
      </c>
      <c r="G20" s="13">
        <f>=F20/E19</f>
        <v/>
      </c>
      <c r="H20" s="13" t="n">
        <v>4081881.66</v>
      </c>
      <c r="I20" s="13">
        <f>=F20/H20</f>
        <v/>
      </c>
    </row>
    <row r="21">
      <c r="A21" s="13" t="inlineStr">
        <is>
          <t>深交所</t>
        </is>
      </c>
      <c r="B21" s="13" t="inlineStr">
        <is>
          <t>159919</t>
        </is>
      </c>
      <c r="C21" s="13" t="inlineStr">
        <is>
          <t>沪深300ETF嘉实</t>
        </is>
      </c>
      <c r="D21" s="14" t="n">
        <v>46231</v>
      </c>
      <c r="E21" s="13" t="n">
        <v>633531.66</v>
      </c>
      <c r="F21" s="13">
        <f>=E21-E20</f>
        <v/>
      </c>
      <c r="G21" s="13">
        <f>=F21/E20</f>
        <v/>
      </c>
      <c r="H21" s="13" t="n">
        <v>4081881.66</v>
      </c>
      <c r="I21" s="13">
        <f>=F21/H21</f>
        <v/>
      </c>
    </row>
    <row r="22">
      <c r="A22" s="13" t="inlineStr">
        <is>
          <t>深交所</t>
        </is>
      </c>
      <c r="B22" s="13" t="inlineStr">
        <is>
          <t>159919</t>
        </is>
      </c>
      <c r="C22" s="13" t="inlineStr">
        <is>
          <t>沪深300ETF嘉实</t>
        </is>
      </c>
      <c r="D22" s="14" t="n">
        <v>46232</v>
      </c>
      <c r="E22" s="13" t="n">
        <v>642441.66</v>
      </c>
      <c r="F22" s="13">
        <f>=E22-E21</f>
        <v/>
      </c>
      <c r="G22" s="13">
        <f>=F22/E21</f>
        <v/>
      </c>
      <c r="H22" s="13" t="n">
        <v>4081881.66</v>
      </c>
      <c r="I22" s="13">
        <f>=F22/H22</f>
        <v/>
      </c>
    </row>
    <row r="23">
      <c r="A23" s="13" t="inlineStr">
        <is>
          <t>深交所</t>
        </is>
      </c>
      <c r="B23" s="13" t="inlineStr">
        <is>
          <t>159919</t>
        </is>
      </c>
      <c r="C23" s="13" t="inlineStr">
        <is>
          <t>沪深300ETF嘉实</t>
        </is>
      </c>
      <c r="D23" s="14" t="n">
        <v>46233</v>
      </c>
      <c r="E23" s="13" t="n">
        <v>654411.66</v>
      </c>
      <c r="F23" s="13">
        <f>=E23-E22</f>
        <v/>
      </c>
      <c r="G23" s="13">
        <f>=F23/E22</f>
        <v/>
      </c>
      <c r="H23" s="13" t="n">
        <v>4081881.66</v>
      </c>
      <c r="I23" s="13">
        <f>=F23/H23</f>
        <v/>
      </c>
    </row>
    <row r="24">
      <c r="A24" s="13" t="inlineStr">
        <is>
          <t>深交所</t>
        </is>
      </c>
      <c r="B24" s="13" t="inlineStr">
        <is>
          <t>159919</t>
        </is>
      </c>
      <c r="C24" s="13" t="inlineStr">
        <is>
          <t>沪深300ETF嘉实</t>
        </is>
      </c>
      <c r="D24" s="14" t="n">
        <v>46234</v>
      </c>
      <c r="E24" s="13" t="n">
        <v>660891.66</v>
      </c>
      <c r="F24" s="13">
        <f>=E24-E23</f>
        <v/>
      </c>
      <c r="G24" s="13">
        <f>=F24/E23</f>
        <v/>
      </c>
      <c r="H24" s="13" t="n">
        <v>4081881.66</v>
      </c>
      <c r="I24" s="13">
        <f>=F24/H24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cols>
    <col width="6.49219" customWidth="1" style="11" min="1" max="1"/>
    <col width="6.78125" customWidth="1" style="11" min="2" max="2"/>
    <col width="16.7617" customWidth="1" style="11" min="3" max="3"/>
    <col width="16.4922" customWidth="1" style="11" min="4" max="4"/>
    <col width="19.082" customWidth="1" style="11" min="5" max="5"/>
    <col width="8.29297" customWidth="1" style="11" min="6" max="6"/>
    <col width="11.8906" customWidth="1" style="15" min="7" max="7"/>
    <col width="10.0898" customWidth="1" style="11" min="8" max="8"/>
    <col width="15.4922" customWidth="1" style="11" min="9" max="9"/>
  </cols>
  <sheetData>
    <row r="1">
      <c r="A1" s="12" t="inlineStr">
        <is>
          <t>来源</t>
        </is>
      </c>
      <c r="B1" s="12" t="inlineStr">
        <is>
          <t>代码</t>
        </is>
      </c>
      <c r="C1" s="12" t="inlineStr">
        <is>
          <t>名称</t>
        </is>
      </c>
      <c r="D1" s="12" t="inlineStr">
        <is>
          <t>日期</t>
        </is>
      </c>
      <c r="E1" s="12" t="inlineStr">
        <is>
          <t>当日公示份额（万份）</t>
        </is>
      </c>
      <c r="F1" s="12" t="inlineStr">
        <is>
          <t>当日变化</t>
        </is>
      </c>
      <c r="G1" s="9" t="inlineStr">
        <is>
          <t>环比变动比例</t>
        </is>
      </c>
      <c r="H1" s="12" t="inlineStr">
        <is>
          <t>基期总份额</t>
        </is>
      </c>
      <c r="I1" s="12" t="inlineStr">
        <is>
          <t>相对基期变动比例</t>
        </is>
      </c>
    </row>
    <row r="2">
      <c r="A2" s="13" t="inlineStr">
        <is>
          <t>上交所</t>
        </is>
      </c>
      <c r="B2" s="13" t="inlineStr">
        <is>
          <t>510300</t>
        </is>
      </c>
      <c r="C2" s="13" t="inlineStr">
        <is>
          <t>沪深300etf华泰柏瑞</t>
        </is>
      </c>
      <c r="D2" s="14" t="n">
        <v>46204</v>
      </c>
      <c r="E2" s="13" t="n">
        <v>1839558.77</v>
      </c>
      <c r="H2" s="13" t="n">
        <v>8882958.77</v>
      </c>
      <c r="I2" s="7" t="inlineStr"/>
    </row>
    <row r="3">
      <c r="A3" s="13" t="inlineStr">
        <is>
          <t>上交所</t>
        </is>
      </c>
      <c r="B3" s="13" t="inlineStr">
        <is>
          <t>510300</t>
        </is>
      </c>
      <c r="C3" s="13" t="inlineStr">
        <is>
          <t>沪深300etf华泰柏瑞</t>
        </is>
      </c>
      <c r="D3" s="14" t="n">
        <v>46205</v>
      </c>
      <c r="E3" s="13" t="n">
        <v>1853238.77</v>
      </c>
      <c r="F3" s="13">
        <f>=E3-E2</f>
        <v/>
      </c>
      <c r="G3" s="8">
        <f>=F3/E2</f>
        <v/>
      </c>
      <c r="H3" s="13" t="n">
        <v>8882958.77</v>
      </c>
      <c r="I3" s="8">
        <f>=F3/H3</f>
        <v/>
      </c>
    </row>
    <row r="4">
      <c r="A4" s="13" t="inlineStr">
        <is>
          <t>上交所</t>
        </is>
      </c>
      <c r="B4" s="13" t="inlineStr">
        <is>
          <t>510300</t>
        </is>
      </c>
      <c r="C4" s="13" t="inlineStr">
        <is>
          <t>沪深300etf华泰柏瑞</t>
        </is>
      </c>
      <c r="D4" s="14" t="n">
        <v>46206</v>
      </c>
      <c r="E4" s="13" t="n">
        <v>1706988.77</v>
      </c>
      <c r="F4" s="13">
        <f>=E4-E3</f>
        <v/>
      </c>
      <c r="G4" s="8">
        <f>=F4/E3</f>
        <v/>
      </c>
      <c r="H4" s="13" t="n">
        <v>8882958.77</v>
      </c>
      <c r="I4" s="8">
        <f>=F4/H4</f>
        <v/>
      </c>
    </row>
    <row r="5">
      <c r="A5" s="13" t="inlineStr">
        <is>
          <t>上交所</t>
        </is>
      </c>
      <c r="B5" s="13" t="inlineStr">
        <is>
          <t>510300</t>
        </is>
      </c>
      <c r="C5" s="13" t="inlineStr">
        <is>
          <t>沪深300etf华泰柏瑞</t>
        </is>
      </c>
      <c r="D5" s="14" t="n">
        <v>46209</v>
      </c>
      <c r="E5" s="13" t="n">
        <v>1682148.77</v>
      </c>
      <c r="F5" s="13">
        <f>=E5-E4</f>
        <v/>
      </c>
      <c r="G5" s="8">
        <f>=F5/E4</f>
        <v/>
      </c>
      <c r="H5" s="13" t="n">
        <v>8882958.77</v>
      </c>
      <c r="I5" s="8">
        <f>=F5/H5</f>
        <v/>
      </c>
    </row>
    <row r="6">
      <c r="A6" s="13" t="inlineStr">
        <is>
          <t>上交所</t>
        </is>
      </c>
      <c r="B6" s="13" t="inlineStr">
        <is>
          <t>510300</t>
        </is>
      </c>
      <c r="C6" s="13" t="inlineStr">
        <is>
          <t>沪深300etf华泰柏瑞</t>
        </is>
      </c>
      <c r="D6" s="14" t="n">
        <v>46210</v>
      </c>
      <c r="E6" s="13" t="n">
        <v>1709418.77</v>
      </c>
      <c r="F6" s="13">
        <f>=E6-E5</f>
        <v/>
      </c>
      <c r="G6" s="8">
        <f>=F6/E5</f>
        <v/>
      </c>
      <c r="H6" s="13" t="n">
        <v>8882958.77</v>
      </c>
      <c r="I6" s="8">
        <f>=F6/H6</f>
        <v/>
      </c>
    </row>
    <row r="7">
      <c r="A7" s="13" t="inlineStr">
        <is>
          <t>上交所</t>
        </is>
      </c>
      <c r="B7" s="13" t="inlineStr">
        <is>
          <t>510300</t>
        </is>
      </c>
      <c r="C7" s="13" t="inlineStr">
        <is>
          <t>沪深300etf华泰柏瑞</t>
        </is>
      </c>
      <c r="D7" s="14" t="n">
        <v>46211</v>
      </c>
      <c r="E7" s="13" t="n">
        <v>1720308.77</v>
      </c>
      <c r="F7" s="13">
        <f>=E7-E6</f>
        <v/>
      </c>
      <c r="G7" s="8">
        <f>=F7/E6</f>
        <v/>
      </c>
      <c r="H7" s="13" t="n">
        <v>8882958.77</v>
      </c>
      <c r="I7" s="8">
        <f>=F7/H7</f>
        <v/>
      </c>
    </row>
    <row r="8">
      <c r="A8" s="13" t="inlineStr">
        <is>
          <t>上交所</t>
        </is>
      </c>
      <c r="B8" s="13" t="inlineStr">
        <is>
          <t>510300</t>
        </is>
      </c>
      <c r="C8" s="13" t="inlineStr">
        <is>
          <t>沪深300etf华泰柏瑞</t>
        </is>
      </c>
      <c r="D8" s="14" t="n">
        <v>46212</v>
      </c>
      <c r="E8" s="13" t="n">
        <v>1721478.77</v>
      </c>
      <c r="F8" s="13">
        <f>=E8-E7</f>
        <v/>
      </c>
      <c r="G8" s="8">
        <f>=F8/E7</f>
        <v/>
      </c>
      <c r="H8" s="13" t="n">
        <v>8882958.77</v>
      </c>
      <c r="I8" s="8">
        <f>=F8/H8</f>
        <v/>
      </c>
    </row>
    <row r="9">
      <c r="A9" s="13" t="inlineStr">
        <is>
          <t>上交所</t>
        </is>
      </c>
      <c r="B9" s="13" t="inlineStr">
        <is>
          <t>510300</t>
        </is>
      </c>
      <c r="C9" s="13" t="inlineStr">
        <is>
          <t>沪深300etf华泰柏瑞</t>
        </is>
      </c>
      <c r="D9" s="14" t="n">
        <v>46213</v>
      </c>
      <c r="E9" s="13" t="n">
        <v>1715718.77</v>
      </c>
      <c r="F9" s="13">
        <f>=E9-E8</f>
        <v/>
      </c>
      <c r="G9" s="8">
        <f>=F9/E8</f>
        <v/>
      </c>
      <c r="H9" s="13" t="n">
        <v>8882958.77</v>
      </c>
      <c r="I9" s="8">
        <f>=F9/H9</f>
        <v/>
      </c>
    </row>
    <row r="10">
      <c r="A10" s="13" t="inlineStr">
        <is>
          <t>上交所</t>
        </is>
      </c>
      <c r="B10" s="13" t="inlineStr">
        <is>
          <t>510300</t>
        </is>
      </c>
      <c r="C10" s="13" t="inlineStr">
        <is>
          <t>沪深300etf华泰柏瑞</t>
        </is>
      </c>
      <c r="D10" s="14" t="n">
        <v>46216</v>
      </c>
      <c r="E10" s="13" t="n">
        <v>1832088.77</v>
      </c>
      <c r="F10" s="13">
        <f>=E10-E9</f>
        <v/>
      </c>
      <c r="G10" s="8">
        <f>=F10/E9</f>
        <v/>
      </c>
      <c r="H10" s="13" t="n">
        <v>8882958.77</v>
      </c>
      <c r="I10" s="8">
        <f>=F10/H10</f>
        <v/>
      </c>
    </row>
    <row r="11">
      <c r="A11" s="13" t="inlineStr">
        <is>
          <t>上交所</t>
        </is>
      </c>
      <c r="B11" s="13" t="inlineStr">
        <is>
          <t>510300</t>
        </is>
      </c>
      <c r="C11" s="13" t="inlineStr">
        <is>
          <t>沪深300etf华泰柏瑞</t>
        </is>
      </c>
      <c r="D11" s="14" t="n">
        <v>46217</v>
      </c>
      <c r="E11" s="13" t="n">
        <v>1848198.77</v>
      </c>
      <c r="F11" s="13">
        <f>=E11-E10</f>
        <v/>
      </c>
      <c r="G11" s="8">
        <f>=F11/E10</f>
        <v/>
      </c>
      <c r="H11" s="13" t="n">
        <v>8882958.77</v>
      </c>
      <c r="I11" s="8">
        <f>=F11/H11</f>
        <v/>
      </c>
    </row>
    <row r="12">
      <c r="A12" s="13" t="inlineStr">
        <is>
          <t>上交所</t>
        </is>
      </c>
      <c r="B12" s="13" t="inlineStr">
        <is>
          <t>510300</t>
        </is>
      </c>
      <c r="C12" s="13" t="inlineStr">
        <is>
          <t>沪深300etf华泰柏瑞</t>
        </is>
      </c>
      <c r="D12" s="14" t="n">
        <v>46218</v>
      </c>
      <c r="E12" s="13" t="n">
        <v>1839558.77</v>
      </c>
      <c r="F12" s="13">
        <f>=E12-E11</f>
        <v/>
      </c>
      <c r="G12" s="8">
        <f>=F12/E11</f>
        <v/>
      </c>
      <c r="H12" s="13" t="n">
        <v>8882958.77</v>
      </c>
      <c r="I12" s="8">
        <f>=F12/H12</f>
        <v/>
      </c>
    </row>
    <row r="13">
      <c r="A13" s="13" t="inlineStr">
        <is>
          <t>上交所</t>
        </is>
      </c>
      <c r="B13" s="13" t="inlineStr">
        <is>
          <t>510300</t>
        </is>
      </c>
      <c r="C13" s="13" t="inlineStr">
        <is>
          <t>沪深300etf华泰柏瑞</t>
        </is>
      </c>
      <c r="D13" s="14" t="n">
        <v>46219</v>
      </c>
      <c r="E13" s="13" t="n">
        <v>1970148.77</v>
      </c>
      <c r="F13" s="13">
        <f>=E13-E12</f>
        <v/>
      </c>
      <c r="G13" s="8">
        <f>=F13/E12</f>
        <v/>
      </c>
      <c r="H13" s="13" t="n">
        <v>8882958.77</v>
      </c>
      <c r="I13" s="8">
        <f>=F13/H13</f>
        <v/>
      </c>
    </row>
    <row r="14">
      <c r="A14" s="13" t="inlineStr">
        <is>
          <t>上交所</t>
        </is>
      </c>
      <c r="B14" s="13" t="inlineStr">
        <is>
          <t>510300</t>
        </is>
      </c>
      <c r="C14" s="13" t="inlineStr">
        <is>
          <t>沪深300etf华泰柏瑞</t>
        </is>
      </c>
      <c r="D14" s="14" t="n">
        <v>46220</v>
      </c>
      <c r="E14" s="13" t="n">
        <v>2171658.77</v>
      </c>
      <c r="F14" s="13">
        <f>=E14-E13</f>
        <v/>
      </c>
      <c r="G14" s="8">
        <f>=F14/E13</f>
        <v/>
      </c>
      <c r="H14" s="13" t="n">
        <v>8882958.77</v>
      </c>
      <c r="I14" s="8">
        <f>=F14/H14</f>
        <v/>
      </c>
    </row>
    <row r="15">
      <c r="A15" s="13" t="inlineStr">
        <is>
          <t>上交所</t>
        </is>
      </c>
      <c r="B15" s="13" t="inlineStr">
        <is>
          <t>510300</t>
        </is>
      </c>
      <c r="C15" s="13" t="inlineStr">
        <is>
          <t>沪深300etf华泰柏瑞</t>
        </is>
      </c>
      <c r="D15" s="14" t="n">
        <v>46223</v>
      </c>
      <c r="E15" s="13" t="n">
        <v>2442198.77</v>
      </c>
      <c r="F15" s="13">
        <f>=E15-E14</f>
        <v/>
      </c>
      <c r="G15" s="8">
        <f>=F15/E14</f>
        <v/>
      </c>
      <c r="H15" s="13" t="n">
        <v>8882958.77</v>
      </c>
      <c r="I15" s="8">
        <f>=F15/H15</f>
        <v/>
      </c>
    </row>
    <row r="16">
      <c r="A16" s="13" t="inlineStr">
        <is>
          <t>上交所</t>
        </is>
      </c>
      <c r="B16" s="13" t="inlineStr">
        <is>
          <t>510300</t>
        </is>
      </c>
      <c r="C16" s="13" t="inlineStr">
        <is>
          <t>沪深300etf华泰柏瑞</t>
        </is>
      </c>
      <c r="D16" s="14" t="n">
        <v>46224</v>
      </c>
      <c r="E16" s="13" t="n">
        <v>2435718.77</v>
      </c>
      <c r="F16" s="13">
        <f>=E16-E15</f>
        <v/>
      </c>
      <c r="G16" s="8">
        <f>=F16/E15</f>
        <v/>
      </c>
      <c r="H16" s="13" t="n">
        <v>8882958.77</v>
      </c>
      <c r="I16" s="8">
        <f>=F16/H16</f>
        <v/>
      </c>
    </row>
    <row r="17">
      <c r="A17" s="13" t="inlineStr">
        <is>
          <t>上交所</t>
        </is>
      </c>
      <c r="B17" s="13" t="inlineStr">
        <is>
          <t>510300</t>
        </is>
      </c>
      <c r="C17" s="13" t="inlineStr">
        <is>
          <t>沪深300etf华泰柏瑞</t>
        </is>
      </c>
      <c r="D17" s="14" t="n">
        <v>46225</v>
      </c>
      <c r="E17" s="13" t="n">
        <v>2404488.77</v>
      </c>
      <c r="F17" s="13">
        <f>=E17-E16</f>
        <v/>
      </c>
      <c r="G17" s="8">
        <f>=F17/E16</f>
        <v/>
      </c>
      <c r="H17" s="13" t="n">
        <v>8882958.77</v>
      </c>
      <c r="I17" s="8">
        <f>=F17/H17</f>
        <v/>
      </c>
    </row>
    <row r="18">
      <c r="A18" s="13" t="inlineStr">
        <is>
          <t>上交所</t>
        </is>
      </c>
      <c r="B18" s="13" t="inlineStr">
        <is>
          <t>510300</t>
        </is>
      </c>
      <c r="C18" s="13" t="inlineStr">
        <is>
          <t>沪深300etf华泰柏瑞</t>
        </is>
      </c>
      <c r="D18" s="14" t="n">
        <v>46226</v>
      </c>
      <c r="E18" s="13" t="n">
        <v>2402688.77</v>
      </c>
      <c r="F18" s="13">
        <f>=E18-E17</f>
        <v/>
      </c>
      <c r="G18" s="8">
        <f>=F18/E17</f>
        <v/>
      </c>
      <c r="H18" s="13" t="n">
        <v>8882958.77</v>
      </c>
      <c r="I18" s="8">
        <f>=F18/H18</f>
        <v/>
      </c>
    </row>
    <row r="19">
      <c r="A19" s="13" t="inlineStr">
        <is>
          <t>上交所</t>
        </is>
      </c>
      <c r="B19" s="13" t="inlineStr">
        <is>
          <t>510300</t>
        </is>
      </c>
      <c r="C19" s="13" t="inlineStr">
        <is>
          <t>沪深300etf华泰柏瑞</t>
        </is>
      </c>
      <c r="D19" s="14" t="n">
        <v>46227</v>
      </c>
      <c r="E19" s="13" t="n">
        <v>2438058.77</v>
      </c>
      <c r="F19" s="13">
        <f>=E19-E18</f>
        <v/>
      </c>
      <c r="G19" s="8">
        <f>=F19/E18</f>
        <v/>
      </c>
      <c r="H19" s="13" t="n">
        <v>8882958.77</v>
      </c>
      <c r="I19" s="8">
        <f>=F19/H19</f>
        <v/>
      </c>
    </row>
    <row r="20">
      <c r="A20" s="13" t="inlineStr">
        <is>
          <t>上交所</t>
        </is>
      </c>
      <c r="B20" s="13" t="inlineStr">
        <is>
          <t>510300</t>
        </is>
      </c>
      <c r="C20" s="13" t="inlineStr">
        <is>
          <t>沪深300etf华泰柏瑞</t>
        </is>
      </c>
      <c r="D20" s="14" t="n">
        <v>46230</v>
      </c>
      <c r="E20" s="13" t="n">
        <v>2464158.77</v>
      </c>
      <c r="F20" s="13">
        <f>=E20-E19</f>
        <v/>
      </c>
      <c r="G20" s="8">
        <f>=F20/E19</f>
        <v/>
      </c>
      <c r="H20" s="13" t="n">
        <v>8882958.77</v>
      </c>
      <c r="I20" s="8">
        <f>=F20/H20</f>
        <v/>
      </c>
    </row>
    <row r="21">
      <c r="A21" s="13" t="inlineStr">
        <is>
          <t>上交所</t>
        </is>
      </c>
      <c r="B21" s="13" t="inlineStr">
        <is>
          <t>510300</t>
        </is>
      </c>
      <c r="C21" s="13" t="inlineStr">
        <is>
          <t>沪深300etf华泰柏瑞</t>
        </is>
      </c>
      <c r="D21" s="14" t="n">
        <v>46231</v>
      </c>
      <c r="E21" s="13" t="n">
        <v>2533458.77</v>
      </c>
      <c r="F21" s="13">
        <f>=E21-E20</f>
        <v/>
      </c>
      <c r="G21" s="8">
        <f>=F21/E20</f>
        <v/>
      </c>
      <c r="H21" s="13" t="n">
        <v>8882958.77</v>
      </c>
      <c r="I21" s="8">
        <f>=F21/H21</f>
        <v/>
      </c>
    </row>
    <row r="22">
      <c r="A22" s="13" t="inlineStr">
        <is>
          <t>上交所</t>
        </is>
      </c>
      <c r="B22" s="13" t="inlineStr">
        <is>
          <t>510300</t>
        </is>
      </c>
      <c r="C22" s="13" t="inlineStr">
        <is>
          <t>沪深300etf华泰柏瑞</t>
        </is>
      </c>
      <c r="D22" s="14" t="n">
        <v>46232</v>
      </c>
      <c r="E22" s="13" t="n">
        <v>2594748.77</v>
      </c>
      <c r="F22" s="13">
        <f>=E22-E21</f>
        <v/>
      </c>
      <c r="G22" s="8">
        <f>=F22/E21</f>
        <v/>
      </c>
      <c r="H22" s="13" t="n">
        <v>8882958.77</v>
      </c>
      <c r="I22" s="8">
        <f>=F22/H22</f>
        <v/>
      </c>
    </row>
    <row r="23">
      <c r="A23" s="13" t="inlineStr">
        <is>
          <t>上交所</t>
        </is>
      </c>
      <c r="B23" s="13" t="inlineStr">
        <is>
          <t>510300</t>
        </is>
      </c>
      <c r="C23" s="13" t="inlineStr">
        <is>
          <t>沪深300etf华泰柏瑞</t>
        </is>
      </c>
      <c r="D23" s="14" t="n">
        <v>46233</v>
      </c>
      <c r="E23" s="13" t="n">
        <v>2648388.77</v>
      </c>
      <c r="F23" s="13">
        <f>=E23-E22</f>
        <v/>
      </c>
      <c r="G23" s="8">
        <f>=F23/E22</f>
        <v/>
      </c>
      <c r="H23" s="13" t="n">
        <v>8882958.77</v>
      </c>
      <c r="I23" s="8">
        <f>=F23/H23</f>
        <v/>
      </c>
    </row>
    <row r="24">
      <c r="A24" s="13" t="inlineStr">
        <is>
          <t>上交所</t>
        </is>
      </c>
      <c r="B24" s="13" t="inlineStr">
        <is>
          <t>510300</t>
        </is>
      </c>
      <c r="C24" s="13" t="inlineStr">
        <is>
          <t>沪深300etf华泰柏瑞</t>
        </is>
      </c>
      <c r="D24" s="14" t="n">
        <v>46234</v>
      </c>
      <c r="E24" s="13" t="n">
        <v>2646678.77</v>
      </c>
      <c r="F24" s="13">
        <f>=E24-E23</f>
        <v/>
      </c>
      <c r="G24" s="8">
        <f>=F24/E23</f>
        <v/>
      </c>
      <c r="H24" s="13" t="n">
        <v>8882958.77</v>
      </c>
      <c r="I24" s="8">
        <f>=F24/H24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00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9.441409999999999" customWidth="1" style="11" min="8" max="8"/>
    <col width="18.2812" customWidth="1" style="11" min="9" max="9"/>
  </cols>
  <sheetData>
    <row r="1">
      <c r="A1" s="16" t="inlineStr">
        <is>
          <t>代码</t>
        </is>
      </c>
      <c r="B1" s="16" t="inlineStr">
        <is>
          <t>名称</t>
        </is>
      </c>
      <c r="C1" s="16" t="inlineStr">
        <is>
          <t>最新日期</t>
        </is>
      </c>
      <c r="D1" s="16" t="inlineStr">
        <is>
          <t>公示份额</t>
        </is>
      </c>
      <c r="E1" s="16" t="inlineStr">
        <is>
          <t>当日变化</t>
        </is>
      </c>
      <c r="F1" s="16" t="inlineStr">
        <is>
          <t>环比昨日变动</t>
        </is>
      </c>
      <c r="G1" s="16" t="inlineStr">
        <is>
          <t>相对基期变动</t>
        </is>
      </c>
      <c r="H1" s="16" t="inlineStr">
        <is>
          <t>状态</t>
        </is>
      </c>
      <c r="I1" s="16" t="inlineStr">
        <is>
          <t>连续n日累计变动比例</t>
        </is>
      </c>
    </row>
    <row r="2">
      <c r="A2" s="3" t="inlineStr">
        <is>
          <t>510050</t>
        </is>
      </c>
      <c r="B2" s="3" t="inlineStr">
        <is>
          <t>上证50华夏</t>
        </is>
      </c>
      <c r="C2" s="20">
        <f>INDEX('510050'!$D:$D,COUNTA('510050'!$D:$D))</f>
        <v/>
      </c>
      <c r="D2" s="18">
        <f>INDEX('510050'!$E:$E,COUNTA('510050'!$E:$E))</f>
        <v/>
      </c>
      <c r="E2" s="18">
        <f>INDEX('510050'!$F:$F,COUNTA('510050'!$E:$E))</f>
        <v/>
      </c>
      <c r="F2" s="19">
        <f>INDEX('510050'!$G:$G,COUNTA('510050'!$E:$E))</f>
        <v/>
      </c>
      <c r="G2" s="19">
        <f>INDEX('510050'!$I:$I,COUNTA('510050'!$E:$E))</f>
        <v/>
      </c>
      <c r="H2" s="3" t="inlineStr">
        <is>
          <t>反转增持</t>
        </is>
      </c>
      <c r="I2" s="19">
        <f>SUM(INDEX('510050'!$I:$I,COUNTA('510050'!$E:$E)-1+1):INDEX('510050'!$I:$I,COUNTA('510050'!$E:$E)))</f>
        <v/>
      </c>
    </row>
    <row r="3">
      <c r="A3" s="3" t="inlineStr">
        <is>
          <t>510300</t>
        </is>
      </c>
      <c r="B3" s="3" t="inlineStr">
        <is>
          <t>沪深300etf华泰柏瑞</t>
        </is>
      </c>
      <c r="C3" s="20">
        <f>INDEX('510300'!$D:$D,COUNTA('510300'!$D:$D))</f>
        <v/>
      </c>
      <c r="D3" s="18">
        <f>INDEX('510300'!$E:$E,COUNTA('510300'!$E:$E))</f>
        <v/>
      </c>
      <c r="E3" s="18">
        <f>INDEX('510300'!$F:$F,COUNTA('510300'!$E:$E))</f>
        <v/>
      </c>
      <c r="F3" s="19">
        <f>INDEX('510300'!$G:$G,COUNTA('510300'!$E:$E))</f>
        <v/>
      </c>
      <c r="G3" s="19">
        <f>INDEX('510300'!$I:$I,COUNTA('510300'!$E:$E))</f>
        <v/>
      </c>
      <c r="H3" s="3" t="inlineStr">
        <is>
          <t>反转减持</t>
        </is>
      </c>
      <c r="I3" s="19">
        <f>SUM(INDEX('510300'!$I:$I,COUNTA('510300'!$E:$E)-1+1):INDEX('510300'!$I:$I,COUNTA('510300'!$E:$E)))</f>
        <v/>
      </c>
    </row>
    <row r="4">
      <c r="A4" s="3" t="inlineStr">
        <is>
          <t>159919</t>
        </is>
      </c>
      <c r="B4" s="3" t="inlineStr">
        <is>
          <t>沪深300ETF嘉实</t>
        </is>
      </c>
      <c r="C4" s="20">
        <f>INDEX('159919'!$D:$D,COUNTA('159919'!$D:$D))</f>
        <v/>
      </c>
      <c r="D4" s="18">
        <f>INDEX('159919'!$E:$E,COUNTA('159919'!$E:$E))</f>
        <v/>
      </c>
      <c r="E4" s="18">
        <f>INDEX('159919'!$F:$F,COUNTA('159919'!$E:$E))</f>
        <v/>
      </c>
      <c r="F4" s="19">
        <f>INDEX('159919'!$G:$G,COUNTA('159919'!$E:$E))</f>
        <v/>
      </c>
      <c r="G4" s="19">
        <f>INDEX('159919'!$I:$I,COUNTA('159919'!$E:$E))</f>
        <v/>
      </c>
      <c r="H4" s="3" t="inlineStr">
        <is>
          <t>连续7日增持</t>
        </is>
      </c>
      <c r="I4" s="19">
        <f>SUM(INDEX('159919'!$I:$I,COUNTA('159919'!$E:$E)-7+1):INDEX('159919'!$I:$I,COUNTA('159919'!$E:$E)))</f>
        <v/>
      </c>
    </row>
    <row r="5">
      <c r="A5" s="3" t="inlineStr">
        <is>
          <t>159915</t>
        </is>
      </c>
      <c r="B5" s="3" t="inlineStr">
        <is>
          <t>易方达创业板ETF</t>
        </is>
      </c>
      <c r="C5" s="20">
        <f>INDEX('159915'!$D:$D,COUNTA('159915'!$D:$D))</f>
        <v/>
      </c>
      <c r="D5" s="18">
        <f>INDEX('159915'!$E:$E,COUNTA('159915'!$E:$E))</f>
        <v/>
      </c>
      <c r="E5" s="18">
        <f>INDEX('159915'!$F:$F,COUNTA('159915'!$E:$E))</f>
        <v/>
      </c>
      <c r="F5" s="19">
        <f>INDEX('159915'!$G:$G,COUNTA('159915'!$E:$E))</f>
        <v/>
      </c>
      <c r="G5" s="19">
        <f>INDEX('159915'!$I:$I,COUNTA('159915'!$E:$E))</f>
        <v/>
      </c>
      <c r="H5" s="3" t="inlineStr">
        <is>
          <t>反转减持</t>
        </is>
      </c>
      <c r="I5" s="19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来源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日期</t>
        </is>
      </c>
      <c r="E1" s="16" t="inlineStr">
        <is>
          <t>当日公示份额（万份）</t>
        </is>
      </c>
      <c r="F1" s="16" t="inlineStr">
        <is>
          <t>当日变化</t>
        </is>
      </c>
      <c r="G1" s="16" t="inlineStr">
        <is>
          <t>环比变动比例</t>
        </is>
      </c>
      <c r="H1" s="16" t="inlineStr">
        <is>
          <t>基期总份额</t>
        </is>
      </c>
      <c r="I1" s="16" t="inlineStr">
        <is>
          <t>相对基期变动比例</t>
        </is>
      </c>
    </row>
    <row r="2">
      <c r="A2" s="3" t="inlineStr">
        <is>
          <t>深交所</t>
        </is>
      </c>
      <c r="B2" s="3" t="inlineStr">
        <is>
          <t>159915</t>
        </is>
      </c>
      <c r="C2" s="3" t="inlineStr">
        <is>
          <t>易方达创业板ETF</t>
        </is>
      </c>
      <c r="D2" s="21" t="n">
        <v>46204</v>
      </c>
      <c r="E2" s="3" t="n">
        <v>1069445.49</v>
      </c>
      <c r="H2" s="3" t="n">
        <v>3150245.49</v>
      </c>
    </row>
    <row r="3">
      <c r="A3" s="3" t="inlineStr">
        <is>
          <t>深交所</t>
        </is>
      </c>
      <c r="B3" s="3" t="inlineStr">
        <is>
          <t>159915</t>
        </is>
      </c>
      <c r="C3" s="3" t="inlineStr">
        <is>
          <t>易方达创业板ETF</t>
        </is>
      </c>
      <c r="D3" s="21" t="n">
        <v>46205</v>
      </c>
      <c r="E3" s="3" t="n">
        <v>1116545.49</v>
      </c>
      <c r="F3" s="3">
        <f>E3-E2</f>
        <v/>
      </c>
      <c r="G3" s="3">
        <f>F3/E2</f>
        <v/>
      </c>
      <c r="H3" s="3" t="n">
        <v>3150245.49</v>
      </c>
      <c r="I3" s="3">
        <f>F3/H3</f>
        <v/>
      </c>
    </row>
    <row r="4">
      <c r="A4" s="3" t="inlineStr">
        <is>
          <t>深交所</t>
        </is>
      </c>
      <c r="B4" s="3" t="inlineStr">
        <is>
          <t>159915</t>
        </is>
      </c>
      <c r="C4" s="3" t="inlineStr">
        <is>
          <t>易方达创业板ETF</t>
        </is>
      </c>
      <c r="D4" s="21" t="n">
        <v>46206</v>
      </c>
      <c r="E4" s="3" t="n">
        <v>1104245.49</v>
      </c>
      <c r="F4" s="3">
        <f>E4-E3</f>
        <v/>
      </c>
      <c r="G4" s="3">
        <f>F4/E3</f>
        <v/>
      </c>
      <c r="H4" s="3" t="n">
        <v>3150245.49</v>
      </c>
      <c r="I4" s="3">
        <f>F4/H4</f>
        <v/>
      </c>
    </row>
    <row r="5">
      <c r="A5" s="3" t="inlineStr">
        <is>
          <t>深交所</t>
        </is>
      </c>
      <c r="B5" s="3" t="inlineStr">
        <is>
          <t>159915</t>
        </is>
      </c>
      <c r="C5" s="3" t="inlineStr">
        <is>
          <t>易方达创业板ETF</t>
        </is>
      </c>
      <c r="D5" s="21" t="n">
        <v>46209</v>
      </c>
      <c r="E5" s="3" t="n">
        <v>1114345.49</v>
      </c>
      <c r="F5" s="3">
        <f>E5-E4</f>
        <v/>
      </c>
      <c r="G5" s="3">
        <f>F5/E4</f>
        <v/>
      </c>
      <c r="H5" s="3" t="n">
        <v>3150245.49</v>
      </c>
      <c r="I5" s="3">
        <f>F5/H5</f>
        <v/>
      </c>
    </row>
    <row r="6">
      <c r="A6" s="3" t="inlineStr">
        <is>
          <t>深交所</t>
        </is>
      </c>
      <c r="B6" s="3" t="inlineStr">
        <is>
          <t>159915</t>
        </is>
      </c>
      <c r="C6" s="3" t="inlineStr">
        <is>
          <t>易方达创业板ETF</t>
        </is>
      </c>
      <c r="D6" s="21" t="n">
        <v>46210</v>
      </c>
      <c r="E6" s="3" t="n">
        <v>1153345.49</v>
      </c>
      <c r="F6" s="3">
        <f>E6-E5</f>
        <v/>
      </c>
      <c r="G6" s="3">
        <f>F6/E5</f>
        <v/>
      </c>
      <c r="H6" s="3" t="n">
        <v>3150245.49</v>
      </c>
      <c r="I6" s="3">
        <f>F6/H6</f>
        <v/>
      </c>
    </row>
    <row r="7">
      <c r="A7" s="3" t="inlineStr">
        <is>
          <t>深交所</t>
        </is>
      </c>
      <c r="B7" s="3" t="inlineStr">
        <is>
          <t>159915</t>
        </is>
      </c>
      <c r="C7" s="3" t="inlineStr">
        <is>
          <t>易方达创业板ETF</t>
        </is>
      </c>
      <c r="D7" s="21" t="n">
        <v>46211</v>
      </c>
      <c r="E7" s="3" t="n">
        <v>1174645.49</v>
      </c>
      <c r="F7" s="3">
        <f>E7-E6</f>
        <v/>
      </c>
      <c r="G7" s="3">
        <f>F7/E6</f>
        <v/>
      </c>
      <c r="H7" s="3" t="n">
        <v>3150245.49</v>
      </c>
      <c r="I7" s="3">
        <f>F7/H7</f>
        <v/>
      </c>
    </row>
    <row r="8">
      <c r="A8" s="3" t="inlineStr">
        <is>
          <t>深交所</t>
        </is>
      </c>
      <c r="B8" s="3" t="inlineStr">
        <is>
          <t>159915</t>
        </is>
      </c>
      <c r="C8" s="3" t="inlineStr">
        <is>
          <t>易方达创业板ETF</t>
        </is>
      </c>
      <c r="D8" s="21" t="n">
        <v>46212</v>
      </c>
      <c r="E8" s="3" t="n">
        <v>1180045.49</v>
      </c>
      <c r="F8" s="3">
        <f>E8-E7</f>
        <v/>
      </c>
      <c r="G8" s="3">
        <f>F8/E7</f>
        <v/>
      </c>
      <c r="H8" s="3" t="n">
        <v>3150245.49</v>
      </c>
      <c r="I8" s="3">
        <f>F8/H8</f>
        <v/>
      </c>
    </row>
    <row r="9">
      <c r="A9" s="3" t="inlineStr">
        <is>
          <t>深交所</t>
        </is>
      </c>
      <c r="B9" s="3" t="inlineStr">
        <is>
          <t>159915</t>
        </is>
      </c>
      <c r="C9" s="3" t="inlineStr">
        <is>
          <t>易方达创业板ETF</t>
        </is>
      </c>
      <c r="D9" s="21" t="n">
        <v>46213</v>
      </c>
      <c r="E9" s="3" t="n">
        <v>1180145.49</v>
      </c>
      <c r="F9" s="3">
        <f>E9-E8</f>
        <v/>
      </c>
      <c r="G9" s="3">
        <f>F9/E8</f>
        <v/>
      </c>
      <c r="H9" s="3" t="n">
        <v>3150245.49</v>
      </c>
      <c r="I9" s="3">
        <f>F9/H9</f>
        <v/>
      </c>
    </row>
    <row r="10">
      <c r="A10" s="3" t="inlineStr">
        <is>
          <t>深交所</t>
        </is>
      </c>
      <c r="B10" s="3" t="inlineStr">
        <is>
          <t>159915</t>
        </is>
      </c>
      <c r="C10" s="3" t="inlineStr">
        <is>
          <t>易方达创业板ETF</t>
        </is>
      </c>
      <c r="D10" s="21" t="n">
        <v>46216</v>
      </c>
      <c r="E10" s="3" t="n">
        <v>1233845.49</v>
      </c>
      <c r="F10" s="3">
        <f>E10-E9</f>
        <v/>
      </c>
      <c r="G10" s="3">
        <f>F10/E9</f>
        <v/>
      </c>
      <c r="H10" s="3" t="n">
        <v>3150245.49</v>
      </c>
      <c r="I10" s="3">
        <f>F10/H10</f>
        <v/>
      </c>
    </row>
    <row r="11">
      <c r="A11" s="3" t="inlineStr">
        <is>
          <t>深交所</t>
        </is>
      </c>
      <c r="B11" s="3" t="inlineStr">
        <is>
          <t>159915</t>
        </is>
      </c>
      <c r="C11" s="3" t="inlineStr">
        <is>
          <t>易方达创业板ETF</t>
        </is>
      </c>
      <c r="D11" s="21" t="n">
        <v>46217</v>
      </c>
      <c r="E11" s="3" t="n">
        <v>1246945.49</v>
      </c>
      <c r="F11" s="3">
        <f>E11-E10</f>
        <v/>
      </c>
      <c r="G11" s="3">
        <f>F11/E10</f>
        <v/>
      </c>
      <c r="H11" s="3" t="n">
        <v>3150245.49</v>
      </c>
      <c r="I11" s="3">
        <f>F11/H11</f>
        <v/>
      </c>
    </row>
    <row r="12">
      <c r="A12" s="3" t="inlineStr">
        <is>
          <t>深交所</t>
        </is>
      </c>
      <c r="B12" s="3" t="inlineStr">
        <is>
          <t>159915</t>
        </is>
      </c>
      <c r="C12" s="3" t="inlineStr">
        <is>
          <t>易方达创业板ETF</t>
        </is>
      </c>
      <c r="D12" s="21" t="n">
        <v>46218</v>
      </c>
      <c r="E12" s="3" t="n">
        <v>1245645.49</v>
      </c>
      <c r="F12" s="3">
        <f>E12-E11</f>
        <v/>
      </c>
      <c r="G12" s="3">
        <f>F12/E11</f>
        <v/>
      </c>
      <c r="H12" s="3" t="n">
        <v>3150245.49</v>
      </c>
      <c r="I12" s="3">
        <f>F12/H12</f>
        <v/>
      </c>
    </row>
    <row r="13">
      <c r="A13" s="3" t="inlineStr">
        <is>
          <t>深交所</t>
        </is>
      </c>
      <c r="B13" s="3" t="inlineStr">
        <is>
          <t>159915</t>
        </is>
      </c>
      <c r="C13" s="3" t="inlineStr">
        <is>
          <t>易方达创业板ETF</t>
        </is>
      </c>
      <c r="D13" s="21" t="n">
        <v>46219</v>
      </c>
      <c r="E13" s="3" t="n">
        <v>1302445.49</v>
      </c>
      <c r="F13" s="3">
        <f>E13-E12</f>
        <v/>
      </c>
      <c r="G13" s="3">
        <f>F13/E12</f>
        <v/>
      </c>
      <c r="H13" s="3" t="n">
        <v>3150245.49</v>
      </c>
      <c r="I13" s="3">
        <f>F13/H13</f>
        <v/>
      </c>
    </row>
    <row r="14">
      <c r="A14" s="3" t="inlineStr">
        <is>
          <t>深交所</t>
        </is>
      </c>
      <c r="B14" s="3" t="inlineStr">
        <is>
          <t>159915</t>
        </is>
      </c>
      <c r="C14" s="3" t="inlineStr">
        <is>
          <t>易方达创业板ETF</t>
        </is>
      </c>
      <c r="D14" s="21" t="n">
        <v>46220</v>
      </c>
      <c r="E14" s="3" t="n">
        <v>1492045.49</v>
      </c>
      <c r="F14" s="3">
        <f>E14-E13</f>
        <v/>
      </c>
      <c r="G14" s="3">
        <f>F14/E13</f>
        <v/>
      </c>
      <c r="H14" s="3" t="n">
        <v>3150245.49</v>
      </c>
      <c r="I14" s="3">
        <f>F14/H14</f>
        <v/>
      </c>
    </row>
    <row r="15">
      <c r="A15" s="3" t="inlineStr">
        <is>
          <t>深交所</t>
        </is>
      </c>
      <c r="B15" s="3" t="inlineStr">
        <is>
          <t>159915</t>
        </is>
      </c>
      <c r="C15" s="3" t="inlineStr">
        <is>
          <t>易方达创业板ETF</t>
        </is>
      </c>
      <c r="D15" s="21" t="n">
        <v>46223</v>
      </c>
      <c r="E15" s="3" t="n">
        <v>1763945.49</v>
      </c>
      <c r="F15" s="3">
        <f>E15-E14</f>
        <v/>
      </c>
      <c r="G15" s="3">
        <f>F15/E14</f>
        <v/>
      </c>
      <c r="H15" s="3" t="n">
        <v>3150245.49</v>
      </c>
      <c r="I15" s="3">
        <f>F15/H15</f>
        <v/>
      </c>
    </row>
    <row r="16">
      <c r="A16" s="3" t="inlineStr">
        <is>
          <t>深交所</t>
        </is>
      </c>
      <c r="B16" s="3" t="inlineStr">
        <is>
          <t>159915</t>
        </is>
      </c>
      <c r="C16" s="3" t="inlineStr">
        <is>
          <t>易方达创业板ETF</t>
        </is>
      </c>
      <c r="D16" s="21" t="n">
        <v>46224</v>
      </c>
      <c r="E16" s="3" t="n">
        <v>1704345.49</v>
      </c>
      <c r="F16" s="3">
        <f>E16-E15</f>
        <v/>
      </c>
      <c r="G16" s="3">
        <f>F16/E15</f>
        <v/>
      </c>
      <c r="H16" s="3" t="n">
        <v>3150245.49</v>
      </c>
      <c r="I16" s="3">
        <f>F16/H16</f>
        <v/>
      </c>
    </row>
    <row r="17">
      <c r="A17" s="3" t="inlineStr">
        <is>
          <t>深交所</t>
        </is>
      </c>
      <c r="B17" s="3" t="inlineStr">
        <is>
          <t>159915</t>
        </is>
      </c>
      <c r="C17" s="3" t="inlineStr">
        <is>
          <t>易方达创业板ETF</t>
        </is>
      </c>
      <c r="D17" s="21" t="n">
        <v>46225</v>
      </c>
      <c r="E17" s="3" t="n">
        <v>1662645.49</v>
      </c>
      <c r="F17" s="3">
        <f>E17-E16</f>
        <v/>
      </c>
      <c r="G17" s="3">
        <f>F17/E16</f>
        <v/>
      </c>
      <c r="H17" s="3" t="n">
        <v>3150245.49</v>
      </c>
      <c r="I17" s="3">
        <f>F17/H17</f>
        <v/>
      </c>
    </row>
    <row r="18">
      <c r="A18" s="3" t="inlineStr">
        <is>
          <t>深交所</t>
        </is>
      </c>
      <c r="B18" s="3" t="inlineStr">
        <is>
          <t>159915</t>
        </is>
      </c>
      <c r="C18" s="3" t="inlineStr">
        <is>
          <t>易方达创业板ETF</t>
        </is>
      </c>
      <c r="D18" s="21" t="n">
        <v>46226</v>
      </c>
      <c r="E18" s="3" t="n">
        <v>1661945.49</v>
      </c>
      <c r="F18" s="3">
        <f>E18-E17</f>
        <v/>
      </c>
      <c r="G18" s="3">
        <f>F18/E17</f>
        <v/>
      </c>
      <c r="H18" s="3" t="n">
        <v>3150245.49</v>
      </c>
      <c r="I18" s="3">
        <f>F18/H18</f>
        <v/>
      </c>
    </row>
    <row r="19">
      <c r="A19" s="3" t="inlineStr">
        <is>
          <t>深交所</t>
        </is>
      </c>
      <c r="B19" s="3" t="inlineStr">
        <is>
          <t>159915</t>
        </is>
      </c>
      <c r="C19" s="3" t="inlineStr">
        <is>
          <t>易方达创业板ETF</t>
        </is>
      </c>
      <c r="D19" s="21" t="n">
        <v>46227</v>
      </c>
      <c r="E19" s="3" t="n">
        <v>1665345.49</v>
      </c>
      <c r="F19" s="3">
        <f>E19-E18</f>
        <v/>
      </c>
      <c r="G19" s="3">
        <f>F19/E18</f>
        <v/>
      </c>
      <c r="H19" s="3" t="n">
        <v>3150245.49</v>
      </c>
      <c r="I19" s="3">
        <f>F19/H19</f>
        <v/>
      </c>
    </row>
    <row r="20">
      <c r="A20" s="3" t="inlineStr">
        <is>
          <t>深交所</t>
        </is>
      </c>
      <c r="B20" s="3" t="inlineStr">
        <is>
          <t>159915</t>
        </is>
      </c>
      <c r="C20" s="3" t="inlineStr">
        <is>
          <t>易方达创业板ETF</t>
        </is>
      </c>
      <c r="D20" s="21" t="n">
        <v>46230</v>
      </c>
      <c r="E20" s="3" t="n">
        <v>1697345.49</v>
      </c>
      <c r="F20" s="3">
        <f>E20-E19</f>
        <v/>
      </c>
      <c r="G20" s="3">
        <f>F20/E19</f>
        <v/>
      </c>
      <c r="H20" s="3" t="n">
        <v>3150245.49</v>
      </c>
      <c r="I20" s="3">
        <f>F20/H20</f>
        <v/>
      </c>
    </row>
    <row r="21">
      <c r="A21" s="3" t="inlineStr">
        <is>
          <t>深交所</t>
        </is>
      </c>
      <c r="B21" s="3" t="inlineStr">
        <is>
          <t>159915</t>
        </is>
      </c>
      <c r="C21" s="3" t="inlineStr">
        <is>
          <t>易方达创业板ETF</t>
        </is>
      </c>
      <c r="D21" s="21" t="n">
        <v>46231</v>
      </c>
      <c r="E21" s="3" t="n">
        <v>1897445.49</v>
      </c>
      <c r="F21" s="3">
        <f>E21-E20</f>
        <v/>
      </c>
      <c r="G21" s="3">
        <f>F21/E20</f>
        <v/>
      </c>
      <c r="H21" s="3" t="n">
        <v>3150245.49</v>
      </c>
      <c r="I21" s="3">
        <f>F21/H21</f>
        <v/>
      </c>
    </row>
    <row r="22">
      <c r="A22" s="3" t="inlineStr">
        <is>
          <t>深交所</t>
        </is>
      </c>
      <c r="B22" s="3" t="inlineStr">
        <is>
          <t>159915</t>
        </is>
      </c>
      <c r="C22" s="3" t="inlineStr">
        <is>
          <t>易方达创业板ETF</t>
        </is>
      </c>
      <c r="D22" s="21" t="n">
        <v>46232</v>
      </c>
      <c r="E22" s="3" t="n">
        <v>2004845.49</v>
      </c>
      <c r="F22" s="3">
        <f>E22-E21</f>
        <v/>
      </c>
      <c r="G22" s="3">
        <f>F22/E21</f>
        <v/>
      </c>
      <c r="H22" s="3" t="n">
        <v>3150245.49</v>
      </c>
      <c r="I22" s="3">
        <f>F22/H22</f>
        <v/>
      </c>
    </row>
    <row r="23">
      <c r="A23" s="3" t="inlineStr">
        <is>
          <t>深交所</t>
        </is>
      </c>
      <c r="B23" s="3" t="inlineStr">
        <is>
          <t>159915</t>
        </is>
      </c>
      <c r="C23" s="3" t="inlineStr">
        <is>
          <t>易方达创业板ETF</t>
        </is>
      </c>
      <c r="D23" s="21" t="n">
        <v>46233</v>
      </c>
      <c r="E23" s="3" t="n">
        <v>2199645.49</v>
      </c>
      <c r="F23" s="3">
        <f>E23-E22</f>
        <v/>
      </c>
      <c r="G23" s="3">
        <f>F23/E22</f>
        <v/>
      </c>
      <c r="H23" s="3" t="n">
        <v>3150245.49</v>
      </c>
      <c r="I23" s="3">
        <f>F23/H23</f>
        <v/>
      </c>
    </row>
    <row r="24">
      <c r="A24" s="3" t="inlineStr">
        <is>
          <t>深交所</t>
        </is>
      </c>
      <c r="B24" s="3" t="inlineStr">
        <is>
          <t>159915</t>
        </is>
      </c>
      <c r="C24" s="3" t="inlineStr">
        <is>
          <t>易方达创业板ETF</t>
        </is>
      </c>
      <c r="D24" s="21" t="n">
        <v>46234</v>
      </c>
      <c r="E24" s="3" t="n">
        <v>2039745.49</v>
      </c>
      <c r="F24" s="3">
        <f>E24-E23</f>
        <v/>
      </c>
      <c r="G24" s="3">
        <f>F24/E23</f>
        <v/>
      </c>
      <c r="H24" s="3" t="n">
        <v>3150245.49</v>
      </c>
      <c r="I24" s="3">
        <f>F24/H24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2026-08-01T22:00:23Z</dcterms:created>
  <dcterms:modified xsi:type="dcterms:W3CDTF">2026-08-03T05:31:42Z</dcterms:modified>
</cp:coreProperties>
</file>