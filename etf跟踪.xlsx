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510050</t>
        </is>
      </c>
      <c r="C43" s="3" t="inlineStr">
        <is>
          <t>上证50华夏</t>
        </is>
      </c>
      <c r="D43" s="23" t="n">
        <v>46268</v>
      </c>
      <c r="E43" s="3" t="n">
        <v>656076.6800000001</v>
      </c>
      <c r="F43" s="3">
        <f>E43-E42</f>
        <v/>
      </c>
      <c r="G43" s="3">
        <f>F43/E42</f>
        <v/>
      </c>
      <c r="H43" s="3" t="n">
        <v>5666466.68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510050</t>
        </is>
      </c>
      <c r="C44" s="3" t="inlineStr">
        <is>
          <t>上证50华夏</t>
        </is>
      </c>
      <c r="D44" s="23" t="n">
        <v>46269</v>
      </c>
      <c r="E44" s="3" t="n">
        <v>681096.6800000001</v>
      </c>
      <c r="F44" s="3">
        <f>E44-E43</f>
        <v/>
      </c>
      <c r="G44" s="3">
        <f>F44/E43</f>
        <v/>
      </c>
      <c r="H44" s="3" t="n">
        <v>5666466.68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510050</t>
        </is>
      </c>
      <c r="C45" s="3" t="inlineStr">
        <is>
          <t>上证50华夏</t>
        </is>
      </c>
      <c r="D45" s="23" t="n">
        <v>46272</v>
      </c>
      <c r="E45" s="3" t="n">
        <v>701886.6800000001</v>
      </c>
      <c r="F45" s="3">
        <f>E45-E44</f>
        <v/>
      </c>
      <c r="G45" s="3">
        <f>F45/E44</f>
        <v/>
      </c>
      <c r="H45" s="3" t="n">
        <v>5666466.68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510050</t>
        </is>
      </c>
      <c r="C46" s="3" t="inlineStr">
        <is>
          <t>上证50华夏</t>
        </is>
      </c>
      <c r="D46" s="23" t="n">
        <v>46273</v>
      </c>
      <c r="E46" s="3" t="n">
        <v>684786.6800000001</v>
      </c>
      <c r="F46" s="3">
        <f>E46-E45</f>
        <v/>
      </c>
      <c r="G46" s="3">
        <f>F46/E45</f>
        <v/>
      </c>
      <c r="H46" s="3" t="n">
        <v>5666466.68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510050</t>
        </is>
      </c>
      <c r="C47" s="3" t="inlineStr">
        <is>
          <t>上证50华夏</t>
        </is>
      </c>
      <c r="D47" s="23" t="n">
        <v>46274</v>
      </c>
      <c r="E47" s="3" t="n">
        <v>684696.6800000001</v>
      </c>
      <c r="F47" s="3">
        <f>E47-E46</f>
        <v/>
      </c>
      <c r="G47" s="3">
        <f>F47/E46</f>
        <v/>
      </c>
      <c r="H47" s="3" t="n">
        <v>5666466.68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510050</t>
        </is>
      </c>
      <c r="C48" s="3" t="inlineStr">
        <is>
          <t>上证50华夏</t>
        </is>
      </c>
      <c r="D48" s="23" t="n">
        <v>46275</v>
      </c>
      <c r="E48" s="3" t="n">
        <v>671826.6800000001</v>
      </c>
      <c r="F48" s="3">
        <f>E48-E47</f>
        <v/>
      </c>
      <c r="G48" s="3">
        <f>F48/E47</f>
        <v/>
      </c>
      <c r="H48" s="3" t="n">
        <v>5666466.68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510050</t>
        </is>
      </c>
      <c r="C49" s="3" t="inlineStr">
        <is>
          <t>上证50华夏</t>
        </is>
      </c>
      <c r="D49" s="23" t="n">
        <v>46276</v>
      </c>
      <c r="E49" s="3" t="n">
        <v>703146.6800000001</v>
      </c>
      <c r="F49" s="3">
        <f>E49-E48</f>
        <v/>
      </c>
      <c r="G49" s="3">
        <f>F49/E48</f>
        <v/>
      </c>
      <c r="H49" s="3" t="n">
        <v>5666466.68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510050</t>
        </is>
      </c>
      <c r="C50" s="3" t="inlineStr">
        <is>
          <t>上证50华夏</t>
        </is>
      </c>
      <c r="D50" s="23" t="n">
        <v>46279</v>
      </c>
      <c r="E50" s="3" t="n">
        <v>704676.6800000001</v>
      </c>
      <c r="F50" s="3">
        <f>E50-E49</f>
        <v/>
      </c>
      <c r="G50" s="3">
        <f>F50/E49</f>
        <v/>
      </c>
      <c r="H50" s="3" t="n">
        <v>5666466.68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510050</t>
        </is>
      </c>
      <c r="C51" s="3" t="inlineStr">
        <is>
          <t>上证50华夏</t>
        </is>
      </c>
      <c r="D51" s="23" t="n">
        <v>46280</v>
      </c>
      <c r="E51" s="3" t="n">
        <v>718986.6800000001</v>
      </c>
      <c r="F51" s="3">
        <f>E51-E50</f>
        <v/>
      </c>
      <c r="G51" s="3">
        <f>F51/E50</f>
        <v/>
      </c>
      <c r="H51" s="3" t="n">
        <v>5666466.68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510050</t>
        </is>
      </c>
      <c r="C52" s="3" t="inlineStr">
        <is>
          <t>上证50华夏</t>
        </is>
      </c>
      <c r="D52" s="23" t="n">
        <v>46282</v>
      </c>
      <c r="E52" s="3" t="n">
        <v>779016.6800000001</v>
      </c>
      <c r="F52" s="3">
        <f>E52-E51</f>
        <v/>
      </c>
      <c r="G52" s="3">
        <f>F52/E51</f>
        <v/>
      </c>
      <c r="H52" s="3" t="n">
        <v>5666466.68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510050</t>
        </is>
      </c>
      <c r="C53" s="3" t="inlineStr">
        <is>
          <t>上证50华夏</t>
        </is>
      </c>
      <c r="D53" s="23" t="n">
        <v>46283</v>
      </c>
      <c r="E53" s="3" t="n">
        <v>796026.6800000001</v>
      </c>
      <c r="F53" s="3">
        <f>E53-E52</f>
        <v/>
      </c>
      <c r="G53" s="3">
        <f>F53/E52</f>
        <v/>
      </c>
      <c r="H53" s="3" t="n">
        <v>5666466.68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510050</t>
        </is>
      </c>
      <c r="C54" s="3" t="inlineStr">
        <is>
          <t>上证50华夏</t>
        </is>
      </c>
      <c r="D54" s="23" t="n">
        <v>46286</v>
      </c>
      <c r="E54" s="3" t="n">
        <v>768936.6800000001</v>
      </c>
      <c r="F54" s="3">
        <f>E54-E53</f>
        <v/>
      </c>
      <c r="G54" s="3">
        <f>F54/E53</f>
        <v/>
      </c>
      <c r="H54" s="3" t="n">
        <v>5666466.68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510050</t>
        </is>
      </c>
      <c r="C55" s="3" t="inlineStr">
        <is>
          <t>上证50华夏</t>
        </is>
      </c>
      <c r="D55" s="23" t="n">
        <v>46287</v>
      </c>
      <c r="E55" s="3" t="n">
        <v>747606.6800000001</v>
      </c>
      <c r="F55" s="3">
        <f>E55-E54</f>
        <v/>
      </c>
      <c r="G55" s="3">
        <f>F55/E54</f>
        <v/>
      </c>
      <c r="H55" s="3" t="n">
        <v>5666466.68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510050</t>
        </is>
      </c>
      <c r="C56" s="3" t="inlineStr">
        <is>
          <t>上证50华夏</t>
        </is>
      </c>
      <c r="D56" s="23" t="n">
        <v>46288</v>
      </c>
      <c r="E56" s="3" t="n">
        <v>737976.6800000001</v>
      </c>
      <c r="F56" s="3">
        <f>E56-E55</f>
        <v/>
      </c>
      <c r="G56" s="3">
        <f>F56/E55</f>
        <v/>
      </c>
      <c r="H56" s="3" t="n">
        <v>5666466.68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510050</t>
        </is>
      </c>
      <c r="C57" s="3" t="inlineStr">
        <is>
          <t>上证50华夏</t>
        </is>
      </c>
      <c r="D57" s="23" t="n">
        <v>46289</v>
      </c>
      <c r="E57" s="3" t="n">
        <v>716736.6800000001</v>
      </c>
      <c r="F57" s="3">
        <f>E57-E56</f>
        <v/>
      </c>
      <c r="G57" s="3">
        <f>F57/E56</f>
        <v/>
      </c>
      <c r="H57" s="3" t="n">
        <v>5666466.68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510050</t>
        </is>
      </c>
      <c r="C58" s="3" t="inlineStr">
        <is>
          <t>上证50华夏</t>
        </is>
      </c>
      <c r="D58" s="23" t="n">
        <v>46293</v>
      </c>
      <c r="E58" s="3" t="n">
        <v>736356.6800000001</v>
      </c>
      <c r="F58" s="3">
        <f>E58-E57</f>
        <v/>
      </c>
      <c r="G58" s="3">
        <f>F58/E57</f>
        <v/>
      </c>
      <c r="H58" s="3" t="n">
        <v>5666466.68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510050</t>
        </is>
      </c>
      <c r="C59" s="3" t="inlineStr">
        <is>
          <t>上证50华夏</t>
        </is>
      </c>
      <c r="D59" s="23" t="n">
        <v>46294</v>
      </c>
      <c r="E59" s="3" t="n">
        <v>724836.6800000001</v>
      </c>
      <c r="F59" s="3">
        <f>E59-E58</f>
        <v/>
      </c>
      <c r="G59" s="3">
        <f>F59/E58</f>
        <v/>
      </c>
      <c r="H59" s="3" t="n">
        <v>5666466.68</v>
      </c>
      <c r="I59" s="3">
        <f>F59/H59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5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159919</t>
        </is>
      </c>
      <c r="C47" s="3" t="inlineStr">
        <is>
          <t>沪深300ETF嘉实</t>
        </is>
      </c>
      <c r="D47" s="23" t="n">
        <v>46267</v>
      </c>
      <c r="E47" s="3" t="n">
        <v>622641.66</v>
      </c>
      <c r="F47" s="3">
        <f>E47-E46</f>
        <v/>
      </c>
      <c r="G47" s="3">
        <f>F47/E46</f>
        <v/>
      </c>
      <c r="H47" s="3" t="n">
        <v>4081881.66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159919</t>
        </is>
      </c>
      <c r="C48" s="3" t="inlineStr">
        <is>
          <t>沪深300ETF嘉实</t>
        </is>
      </c>
      <c r="D48" s="23" t="n">
        <v>46268</v>
      </c>
      <c r="E48" s="3" t="n">
        <v>623541.66</v>
      </c>
      <c r="F48" s="3">
        <f>E48-E47</f>
        <v/>
      </c>
      <c r="G48" s="3">
        <f>F48/E47</f>
        <v/>
      </c>
      <c r="H48" s="3" t="n">
        <v>4081881.66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159919</t>
        </is>
      </c>
      <c r="C49" s="3" t="inlineStr">
        <is>
          <t>沪深300ETF嘉实</t>
        </is>
      </c>
      <c r="D49" s="23" t="n">
        <v>46269</v>
      </c>
      <c r="E49" s="3" t="n">
        <v>625341.66</v>
      </c>
      <c r="F49" s="3">
        <f>E49-E48</f>
        <v/>
      </c>
      <c r="G49" s="3">
        <f>F49/E48</f>
        <v/>
      </c>
      <c r="H49" s="3" t="n">
        <v>4081881.66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159919</t>
        </is>
      </c>
      <c r="C50" s="3" t="inlineStr">
        <is>
          <t>沪深300ETF嘉实</t>
        </is>
      </c>
      <c r="D50" s="23" t="n">
        <v>46272</v>
      </c>
      <c r="E50" s="3" t="n">
        <v>628761.66</v>
      </c>
      <c r="F50" s="3">
        <f>E50-E49</f>
        <v/>
      </c>
      <c r="G50" s="3">
        <f>F50/E49</f>
        <v/>
      </c>
      <c r="H50" s="3" t="n">
        <v>4081881.66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159919</t>
        </is>
      </c>
      <c r="C51" s="3" t="inlineStr">
        <is>
          <t>沪深300ETF嘉实</t>
        </is>
      </c>
      <c r="D51" s="23" t="n">
        <v>46273</v>
      </c>
      <c r="E51" s="3" t="n">
        <v>625701.66</v>
      </c>
      <c r="F51" s="3">
        <f>E51-E50</f>
        <v/>
      </c>
      <c r="G51" s="3">
        <f>F51/E50</f>
        <v/>
      </c>
      <c r="H51" s="3" t="n">
        <v>4081881.66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159919</t>
        </is>
      </c>
      <c r="C52" s="3" t="inlineStr">
        <is>
          <t>沪深300ETF嘉实</t>
        </is>
      </c>
      <c r="D52" s="23" t="n">
        <v>46274</v>
      </c>
      <c r="E52" s="3" t="n">
        <v>624711.66</v>
      </c>
      <c r="F52" s="3">
        <f>E52-E51</f>
        <v/>
      </c>
      <c r="G52" s="3">
        <f>F52/E51</f>
        <v/>
      </c>
      <c r="H52" s="3" t="n">
        <v>4081881.66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159919</t>
        </is>
      </c>
      <c r="C53" s="3" t="inlineStr">
        <is>
          <t>沪深300ETF嘉实</t>
        </is>
      </c>
      <c r="D53" s="23" t="n">
        <v>46275</v>
      </c>
      <c r="E53" s="3" t="n">
        <v>624351.66</v>
      </c>
      <c r="F53" s="3">
        <f>E53-E52</f>
        <v/>
      </c>
      <c r="G53" s="3">
        <f>F53/E52</f>
        <v/>
      </c>
      <c r="H53" s="3" t="n">
        <v>4081881.66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159919</t>
        </is>
      </c>
      <c r="C54" s="3" t="inlineStr">
        <is>
          <t>沪深300ETF嘉实</t>
        </is>
      </c>
      <c r="D54" s="23" t="n">
        <v>46276</v>
      </c>
      <c r="E54" s="3" t="n">
        <v>626241.66</v>
      </c>
      <c r="F54" s="3">
        <f>E54-E53</f>
        <v/>
      </c>
      <c r="G54" s="3">
        <f>F54/E53</f>
        <v/>
      </c>
      <c r="H54" s="3" t="n">
        <v>4081881.66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159919</t>
        </is>
      </c>
      <c r="C55" s="3" t="inlineStr">
        <is>
          <t>沪深300ETF嘉实</t>
        </is>
      </c>
      <c r="D55" s="23" t="n">
        <v>46279</v>
      </c>
      <c r="E55" s="3" t="n">
        <v>631101.66</v>
      </c>
      <c r="F55" s="3">
        <f>E55-E54</f>
        <v/>
      </c>
      <c r="G55" s="3">
        <f>F55/E54</f>
        <v/>
      </c>
      <c r="H55" s="3" t="n">
        <v>4081881.66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159919</t>
        </is>
      </c>
      <c r="C56" s="3" t="inlineStr">
        <is>
          <t>沪深300ETF嘉实</t>
        </is>
      </c>
      <c r="D56" s="23" t="n">
        <v>46280</v>
      </c>
      <c r="E56" s="3" t="n">
        <v>633711.66</v>
      </c>
      <c r="F56" s="3">
        <f>E56-E55</f>
        <v/>
      </c>
      <c r="G56" s="3">
        <f>F56/E55</f>
        <v/>
      </c>
      <c r="H56" s="3" t="n">
        <v>4081881.66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159919</t>
        </is>
      </c>
      <c r="C57" s="3" t="inlineStr">
        <is>
          <t>沪深300ETF嘉实</t>
        </is>
      </c>
      <c r="D57" s="23" t="n">
        <v>46281</v>
      </c>
      <c r="E57" s="3" t="n">
        <v>634161.66</v>
      </c>
      <c r="F57" s="3">
        <f>E57-E56</f>
        <v/>
      </c>
      <c r="G57" s="3">
        <f>F57/E56</f>
        <v/>
      </c>
      <c r="H57" s="3" t="n">
        <v>4081881.66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159919</t>
        </is>
      </c>
      <c r="C58" s="3" t="inlineStr">
        <is>
          <t>沪深300ETF嘉实</t>
        </is>
      </c>
      <c r="D58" s="23" t="n">
        <v>46282</v>
      </c>
      <c r="E58" s="3" t="n">
        <v>634071.66</v>
      </c>
      <c r="F58" s="3">
        <f>E58-E57</f>
        <v/>
      </c>
      <c r="G58" s="3">
        <f>F58/E57</f>
        <v/>
      </c>
      <c r="H58" s="3" t="n">
        <v>4081881.66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159919</t>
        </is>
      </c>
      <c r="C59" s="3" t="inlineStr">
        <is>
          <t>沪深300ETF嘉实</t>
        </is>
      </c>
      <c r="D59" s="23" t="n">
        <v>46283</v>
      </c>
      <c r="E59" s="3" t="n">
        <v>632901.66</v>
      </c>
      <c r="F59" s="3">
        <f>E59-E58</f>
        <v/>
      </c>
      <c r="G59" s="3">
        <f>F59/E58</f>
        <v/>
      </c>
      <c r="H59" s="3" t="n">
        <v>4081881.66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159919</t>
        </is>
      </c>
      <c r="C60" s="3" t="inlineStr">
        <is>
          <t>沪深300ETF嘉实</t>
        </is>
      </c>
      <c r="D60" s="23" t="n">
        <v>46286</v>
      </c>
      <c r="E60" s="3" t="n">
        <v>633171.66</v>
      </c>
      <c r="F60" s="3">
        <f>E60-E59</f>
        <v/>
      </c>
      <c r="G60" s="3">
        <f>F60/E59</f>
        <v/>
      </c>
      <c r="H60" s="3" t="n">
        <v>4081881.66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159919</t>
        </is>
      </c>
      <c r="C61" s="3" t="inlineStr">
        <is>
          <t>沪深300ETF嘉实</t>
        </is>
      </c>
      <c r="D61" s="23" t="n">
        <v>46287</v>
      </c>
      <c r="E61" s="3" t="n">
        <v>644511.66</v>
      </c>
      <c r="F61" s="3">
        <f>E61-E60</f>
        <v/>
      </c>
      <c r="G61" s="3">
        <f>F61/E60</f>
        <v/>
      </c>
      <c r="H61" s="3" t="n">
        <v>4081881.66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159919</t>
        </is>
      </c>
      <c r="C62" s="3" t="inlineStr">
        <is>
          <t>沪深300ETF嘉实</t>
        </is>
      </c>
      <c r="D62" s="23" t="n">
        <v>46288</v>
      </c>
      <c r="E62" s="3" t="n">
        <v>651891.66</v>
      </c>
      <c r="F62" s="3">
        <f>E62-E61</f>
        <v/>
      </c>
      <c r="G62" s="3">
        <f>F62/E61</f>
        <v/>
      </c>
      <c r="H62" s="3" t="n">
        <v>4081881.66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159919</t>
        </is>
      </c>
      <c r="C63" s="3" t="inlineStr">
        <is>
          <t>沪深300ETF嘉实</t>
        </is>
      </c>
      <c r="D63" s="23" t="n">
        <v>46289</v>
      </c>
      <c r="E63" s="3" t="n">
        <v>656661.66</v>
      </c>
      <c r="F63" s="3">
        <f>E63-E62</f>
        <v/>
      </c>
      <c r="G63" s="3">
        <f>F63/E62</f>
        <v/>
      </c>
      <c r="H63" s="3" t="n">
        <v>4081881.66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159919</t>
        </is>
      </c>
      <c r="C64" s="3" t="inlineStr">
        <is>
          <t>沪深300ETF嘉实</t>
        </is>
      </c>
      <c r="D64" s="23" t="n">
        <v>46293</v>
      </c>
      <c r="E64" s="3" t="n">
        <v>659901.66</v>
      </c>
      <c r="F64" s="3">
        <f>E64-E63</f>
        <v/>
      </c>
      <c r="G64" s="3">
        <f>F64/E63</f>
        <v/>
      </c>
      <c r="H64" s="3" t="n">
        <v>4081881.66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159919</t>
        </is>
      </c>
      <c r="C65" s="3" t="inlineStr">
        <is>
          <t>沪深300ETF嘉实</t>
        </is>
      </c>
      <c r="D65" s="23" t="n">
        <v>46294</v>
      </c>
      <c r="E65" s="3" t="n">
        <v>661881.66</v>
      </c>
      <c r="F65" s="3">
        <f>E65-E64</f>
        <v/>
      </c>
      <c r="G65" s="3">
        <f>F65/E64</f>
        <v/>
      </c>
      <c r="H65" s="3" t="n">
        <v>4081881.66</v>
      </c>
      <c r="I65" s="3">
        <f>F65/H65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9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510300</t>
        </is>
      </c>
      <c r="C43" s="3" t="inlineStr">
        <is>
          <t>沪深300etf华泰柏瑞</t>
        </is>
      </c>
      <c r="D43" s="23" t="n">
        <v>46268</v>
      </c>
      <c r="E43" s="3" t="n">
        <v>2312058.77</v>
      </c>
      <c r="F43" s="3">
        <f>E43-E42</f>
        <v/>
      </c>
      <c r="G43" s="3">
        <f>F43/E42</f>
        <v/>
      </c>
      <c r="H43" s="3" t="n">
        <v>8882958.77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510300</t>
        </is>
      </c>
      <c r="C44" s="3" t="inlineStr">
        <is>
          <t>沪深300etf华泰柏瑞</t>
        </is>
      </c>
      <c r="D44" s="23" t="n">
        <v>46269</v>
      </c>
      <c r="E44" s="3" t="n">
        <v>2337708.77</v>
      </c>
      <c r="F44" s="3">
        <f>E44-E43</f>
        <v/>
      </c>
      <c r="G44" s="3">
        <f>F44/E43</f>
        <v/>
      </c>
      <c r="H44" s="3" t="n">
        <v>8882958.77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510300</t>
        </is>
      </c>
      <c r="C45" s="3" t="inlineStr">
        <is>
          <t>沪深300etf华泰柏瑞</t>
        </is>
      </c>
      <c r="D45" s="23" t="n">
        <v>46272</v>
      </c>
      <c r="E45" s="3" t="n">
        <v>2364888.77</v>
      </c>
      <c r="F45" s="3">
        <f>E45-E44</f>
        <v/>
      </c>
      <c r="G45" s="3">
        <f>F45/E44</f>
        <v/>
      </c>
      <c r="H45" s="3" t="n">
        <v>8882958.77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510300</t>
        </is>
      </c>
      <c r="C46" s="3" t="inlineStr">
        <is>
          <t>沪深300etf华泰柏瑞</t>
        </is>
      </c>
      <c r="D46" s="23" t="n">
        <v>46273</v>
      </c>
      <c r="E46" s="3" t="n">
        <v>2346888.77</v>
      </c>
      <c r="F46" s="3">
        <f>E46-E45</f>
        <v/>
      </c>
      <c r="G46" s="3">
        <f>F46/E45</f>
        <v/>
      </c>
      <c r="H46" s="3" t="n">
        <v>8882958.77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510300</t>
        </is>
      </c>
      <c r="C47" s="3" t="inlineStr">
        <is>
          <t>沪深300etf华泰柏瑞</t>
        </is>
      </c>
      <c r="D47" s="23" t="n">
        <v>46274</v>
      </c>
      <c r="E47" s="3" t="n">
        <v>2318538.77</v>
      </c>
      <c r="F47" s="3">
        <f>E47-E46</f>
        <v/>
      </c>
      <c r="G47" s="3">
        <f>F47/E46</f>
        <v/>
      </c>
      <c r="H47" s="3" t="n">
        <v>8882958.77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510300</t>
        </is>
      </c>
      <c r="C48" s="3" t="inlineStr">
        <is>
          <t>沪深300etf华泰柏瑞</t>
        </is>
      </c>
      <c r="D48" s="23" t="n">
        <v>46275</v>
      </c>
      <c r="E48" s="3" t="n">
        <v>2319078.77</v>
      </c>
      <c r="F48" s="3">
        <f>E48-E47</f>
        <v/>
      </c>
      <c r="G48" s="3">
        <f>F48/E47</f>
        <v/>
      </c>
      <c r="H48" s="3" t="n">
        <v>8882958.77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510300</t>
        </is>
      </c>
      <c r="C49" s="3" t="inlineStr">
        <is>
          <t>沪深300etf华泰柏瑞</t>
        </is>
      </c>
      <c r="D49" s="23" t="n">
        <v>46276</v>
      </c>
      <c r="E49" s="3" t="n">
        <v>2339868.77</v>
      </c>
      <c r="F49" s="3">
        <f>E49-E48</f>
        <v/>
      </c>
      <c r="G49" s="3">
        <f>F49/E48</f>
        <v/>
      </c>
      <c r="H49" s="3" t="n">
        <v>8882958.77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510300</t>
        </is>
      </c>
      <c r="C50" s="3" t="inlineStr">
        <is>
          <t>沪深300etf华泰柏瑞</t>
        </is>
      </c>
      <c r="D50" s="23" t="n">
        <v>46279</v>
      </c>
      <c r="E50" s="3" t="n">
        <v>2340318.77</v>
      </c>
      <c r="F50" s="3">
        <f>E50-E49</f>
        <v/>
      </c>
      <c r="G50" s="3">
        <f>F50/E49</f>
        <v/>
      </c>
      <c r="H50" s="3" t="n">
        <v>8882958.77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510300</t>
        </is>
      </c>
      <c r="C51" s="3" t="inlineStr">
        <is>
          <t>沪深300etf华泰柏瑞</t>
        </is>
      </c>
      <c r="D51" s="23" t="n">
        <v>46280</v>
      </c>
      <c r="E51" s="3" t="n">
        <v>2354268.77</v>
      </c>
      <c r="F51" s="3">
        <f>E51-E50</f>
        <v/>
      </c>
      <c r="G51" s="3">
        <f>F51/E50</f>
        <v/>
      </c>
      <c r="H51" s="3" t="n">
        <v>8882958.77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510300</t>
        </is>
      </c>
      <c r="C52" s="3" t="inlineStr">
        <is>
          <t>沪深300etf华泰柏瑞</t>
        </is>
      </c>
      <c r="D52" s="23" t="n">
        <v>46282</v>
      </c>
      <c r="E52" s="3" t="n">
        <v>2370108.77</v>
      </c>
      <c r="F52" s="3">
        <f>E52-E51</f>
        <v/>
      </c>
      <c r="G52" s="3">
        <f>F52/E51</f>
        <v/>
      </c>
      <c r="H52" s="3" t="n">
        <v>8882958.77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510300</t>
        </is>
      </c>
      <c r="C53" s="3" t="inlineStr">
        <is>
          <t>沪深300etf华泰柏瑞</t>
        </is>
      </c>
      <c r="D53" s="23" t="n">
        <v>46283</v>
      </c>
      <c r="E53" s="3" t="n">
        <v>2365968.77</v>
      </c>
      <c r="F53" s="3">
        <f>E53-E52</f>
        <v/>
      </c>
      <c r="G53" s="3">
        <f>F53/E52</f>
        <v/>
      </c>
      <c r="H53" s="3" t="n">
        <v>8882958.77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510300</t>
        </is>
      </c>
      <c r="C54" s="3" t="inlineStr">
        <is>
          <t>沪深300etf华泰柏瑞</t>
        </is>
      </c>
      <c r="D54" s="23" t="n">
        <v>46286</v>
      </c>
      <c r="E54" s="3" t="n">
        <v>2371368.77</v>
      </c>
      <c r="F54" s="3">
        <f>E54-E53</f>
        <v/>
      </c>
      <c r="G54" s="3">
        <f>F54/E53</f>
        <v/>
      </c>
      <c r="H54" s="3" t="n">
        <v>8882958.77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510300</t>
        </is>
      </c>
      <c r="C55" s="3" t="inlineStr">
        <is>
          <t>沪深300etf华泰柏瑞</t>
        </is>
      </c>
      <c r="D55" s="23" t="n">
        <v>46287</v>
      </c>
      <c r="E55" s="3" t="n">
        <v>2373798.77</v>
      </c>
      <c r="F55" s="3">
        <f>E55-E54</f>
        <v/>
      </c>
      <c r="G55" s="3">
        <f>F55/E54</f>
        <v/>
      </c>
      <c r="H55" s="3" t="n">
        <v>8882958.77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510300</t>
        </is>
      </c>
      <c r="C56" s="3" t="inlineStr">
        <is>
          <t>沪深300etf华泰柏瑞</t>
        </is>
      </c>
      <c r="D56" s="23" t="n">
        <v>46288</v>
      </c>
      <c r="E56" s="3" t="n">
        <v>2400528.77</v>
      </c>
      <c r="F56" s="3">
        <f>E56-E55</f>
        <v/>
      </c>
      <c r="G56" s="3">
        <f>F56/E55</f>
        <v/>
      </c>
      <c r="H56" s="3" t="n">
        <v>8882958.77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510300</t>
        </is>
      </c>
      <c r="C57" s="3" t="inlineStr">
        <is>
          <t>沪深300etf华泰柏瑞</t>
        </is>
      </c>
      <c r="D57" s="23" t="n">
        <v>46289</v>
      </c>
      <c r="E57" s="3" t="n">
        <v>2390448.77</v>
      </c>
      <c r="F57" s="3">
        <f>E57-E56</f>
        <v/>
      </c>
      <c r="G57" s="3">
        <f>F57/E56</f>
        <v/>
      </c>
      <c r="H57" s="3" t="n">
        <v>8882958.77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510300</t>
        </is>
      </c>
      <c r="C58" s="3" t="inlineStr">
        <is>
          <t>沪深300etf华泰柏瑞</t>
        </is>
      </c>
      <c r="D58" s="23" t="n">
        <v>46293</v>
      </c>
      <c r="E58" s="3" t="n">
        <v>2417808.77</v>
      </c>
      <c r="F58" s="3">
        <f>E58-E57</f>
        <v/>
      </c>
      <c r="G58" s="3">
        <f>F58/E57</f>
        <v/>
      </c>
      <c r="H58" s="3" t="n">
        <v>8882958.77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510300</t>
        </is>
      </c>
      <c r="C59" s="3" t="inlineStr">
        <is>
          <t>沪深300etf华泰柏瑞</t>
        </is>
      </c>
      <c r="D59" s="23" t="n">
        <v>46294</v>
      </c>
      <c r="E59" s="3" t="n">
        <v>2416458.77</v>
      </c>
      <c r="F59" s="3">
        <f>E59-E58</f>
        <v/>
      </c>
      <c r="G59" s="3">
        <f>F59/E58</f>
        <v/>
      </c>
      <c r="H59" s="3" t="n">
        <v>8882958.77</v>
      </c>
      <c r="I59" s="3">
        <f>F59/H59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反转减持</t>
        </is>
      </c>
      <c r="I2" s="13">
        <f>SUM(INDEX('510050'!$I:$I,COUNTA('510050'!$E:$E)-1+1):INDEX('510050'!$I:$I,COUNTA('510050'!$E:$E)))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反转减持</t>
        </is>
      </c>
      <c r="I3" s="13">
        <f>SUM(INDEX('510300'!$I:$I,COUNTA('510300'!$E:$E)-1+1):INDEX('510300'!$I:$I,COUNTA('510300'!$E:$E)))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连续6日增持</t>
        </is>
      </c>
      <c r="I4" s="13">
        <f>SUM(INDEX('159919'!$I:$I,COUNTA('159919'!$E:$E)-6+1):INDEX('159919'!$I:$I,COUNTA('159919'!$E:$E)))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反转减持</t>
        </is>
      </c>
      <c r="I5" s="13">
        <f>SUM(INDEX('159915'!$I:$I,COUNTA('159915'!$E:$E)-1+1):INDEX('159915'!$I:$I,COUNTA('159915'!$E:$E)))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5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159915</t>
        </is>
      </c>
      <c r="C47" s="3" t="inlineStr">
        <is>
          <t>易方达创业板ETF</t>
        </is>
      </c>
      <c r="D47" s="23" t="n">
        <v>46267</v>
      </c>
      <c r="E47" s="3" t="n">
        <v>1948045.49</v>
      </c>
      <c r="F47" s="3">
        <f>E47-E46</f>
        <v/>
      </c>
      <c r="G47" s="3">
        <f>F47/E46</f>
        <v/>
      </c>
      <c r="H47" s="3" t="n">
        <v>3150245.49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159915</t>
        </is>
      </c>
      <c r="C48" s="3" t="inlineStr">
        <is>
          <t>易方达创业板ETF</t>
        </is>
      </c>
      <c r="D48" s="23" t="n">
        <v>46268</v>
      </c>
      <c r="E48" s="3" t="n">
        <v>1982845.49</v>
      </c>
      <c r="F48" s="3">
        <f>E48-E47</f>
        <v/>
      </c>
      <c r="G48" s="3">
        <f>F48/E47</f>
        <v/>
      </c>
      <c r="H48" s="3" t="n">
        <v>3150245.49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159915</t>
        </is>
      </c>
      <c r="C49" s="3" t="inlineStr">
        <is>
          <t>易方达创业板ETF</t>
        </is>
      </c>
      <c r="D49" s="23" t="n">
        <v>46269</v>
      </c>
      <c r="E49" s="3" t="n">
        <v>2008945.49</v>
      </c>
      <c r="F49" s="3">
        <f>E49-E48</f>
        <v/>
      </c>
      <c r="G49" s="3">
        <f>F49/E48</f>
        <v/>
      </c>
      <c r="H49" s="3" t="n">
        <v>3150245.49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159915</t>
        </is>
      </c>
      <c r="C50" s="3" t="inlineStr">
        <is>
          <t>易方达创业板ETF</t>
        </is>
      </c>
      <c r="D50" s="23" t="n">
        <v>46272</v>
      </c>
      <c r="E50" s="3" t="n">
        <v>1929145.49</v>
      </c>
      <c r="F50" s="3">
        <f>E50-E49</f>
        <v/>
      </c>
      <c r="G50" s="3">
        <f>F50/E49</f>
        <v/>
      </c>
      <c r="H50" s="3" t="n">
        <v>3150245.49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159915</t>
        </is>
      </c>
      <c r="C51" s="3" t="inlineStr">
        <is>
          <t>易方达创业板ETF</t>
        </is>
      </c>
      <c r="D51" s="23" t="n">
        <v>46273</v>
      </c>
      <c r="E51" s="3" t="n">
        <v>1936445.49</v>
      </c>
      <c r="F51" s="3">
        <f>E51-E50</f>
        <v/>
      </c>
      <c r="G51" s="3">
        <f>F51/E50</f>
        <v/>
      </c>
      <c r="H51" s="3" t="n">
        <v>3150245.49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159915</t>
        </is>
      </c>
      <c r="C52" s="3" t="inlineStr">
        <is>
          <t>易方达创业板ETF</t>
        </is>
      </c>
      <c r="D52" s="23" t="n">
        <v>46274</v>
      </c>
      <c r="E52" s="3" t="n">
        <v>1935645.49</v>
      </c>
      <c r="F52" s="3">
        <f>E52-E51</f>
        <v/>
      </c>
      <c r="G52" s="3">
        <f>F52/E51</f>
        <v/>
      </c>
      <c r="H52" s="3" t="n">
        <v>3150245.49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159915</t>
        </is>
      </c>
      <c r="C53" s="3" t="inlineStr">
        <is>
          <t>易方达创业板ETF</t>
        </is>
      </c>
      <c r="D53" s="23" t="n">
        <v>46275</v>
      </c>
      <c r="E53" s="3" t="n">
        <v>1944845.49</v>
      </c>
      <c r="F53" s="3">
        <f>E53-E52</f>
        <v/>
      </c>
      <c r="G53" s="3">
        <f>F53/E52</f>
        <v/>
      </c>
      <c r="H53" s="3" t="n">
        <v>3150245.49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159915</t>
        </is>
      </c>
      <c r="C54" s="3" t="inlineStr">
        <is>
          <t>易方达创业板ETF</t>
        </is>
      </c>
      <c r="D54" s="23" t="n">
        <v>46276</v>
      </c>
      <c r="E54" s="3" t="n">
        <v>1968245.49</v>
      </c>
      <c r="F54" s="3">
        <f>E54-E53</f>
        <v/>
      </c>
      <c r="G54" s="3">
        <f>F54/E53</f>
        <v/>
      </c>
      <c r="H54" s="3" t="n">
        <v>3150245.49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159915</t>
        </is>
      </c>
      <c r="C55" s="3" t="inlineStr">
        <is>
          <t>易方达创业板ETF</t>
        </is>
      </c>
      <c r="D55" s="23" t="n">
        <v>46279</v>
      </c>
      <c r="E55" s="3" t="n">
        <v>1977845.49</v>
      </c>
      <c r="F55" s="3">
        <f>E55-E54</f>
        <v/>
      </c>
      <c r="G55" s="3">
        <f>F55/E54</f>
        <v/>
      </c>
      <c r="H55" s="3" t="n">
        <v>3150245.49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159915</t>
        </is>
      </c>
      <c r="C56" s="3" t="inlineStr">
        <is>
          <t>易方达创业板ETF</t>
        </is>
      </c>
      <c r="D56" s="23" t="n">
        <v>46280</v>
      </c>
      <c r="E56" s="3" t="n">
        <v>2030545.49</v>
      </c>
      <c r="F56" s="3">
        <f>E56-E55</f>
        <v/>
      </c>
      <c r="G56" s="3">
        <f>F56/E55</f>
        <v/>
      </c>
      <c r="H56" s="3" t="n">
        <v>3150245.49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159915</t>
        </is>
      </c>
      <c r="C57" s="3" t="inlineStr">
        <is>
          <t>易方达创业板ETF</t>
        </is>
      </c>
      <c r="D57" s="23" t="n">
        <v>46281</v>
      </c>
      <c r="E57" s="3" t="n">
        <v>2028345.49</v>
      </c>
      <c r="F57" s="3">
        <f>E57-E56</f>
        <v/>
      </c>
      <c r="G57" s="3">
        <f>F57/E56</f>
        <v/>
      </c>
      <c r="H57" s="3" t="n">
        <v>3150245.49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159915</t>
        </is>
      </c>
      <c r="C58" s="3" t="inlineStr">
        <is>
          <t>易方达创业板ETF</t>
        </is>
      </c>
      <c r="D58" s="23" t="n">
        <v>46282</v>
      </c>
      <c r="E58" s="3" t="n">
        <v>1999545.49</v>
      </c>
      <c r="F58" s="3">
        <f>E58-E57</f>
        <v/>
      </c>
      <c r="G58" s="3">
        <f>F58/E57</f>
        <v/>
      </c>
      <c r="H58" s="3" t="n">
        <v>3150245.49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159915</t>
        </is>
      </c>
      <c r="C59" s="3" t="inlineStr">
        <is>
          <t>易方达创业板ETF</t>
        </is>
      </c>
      <c r="D59" s="23" t="n">
        <v>46283</v>
      </c>
      <c r="E59" s="3" t="n">
        <v>1985945.49</v>
      </c>
      <c r="F59" s="3">
        <f>E59-E58</f>
        <v/>
      </c>
      <c r="G59" s="3">
        <f>F59/E58</f>
        <v/>
      </c>
      <c r="H59" s="3" t="n">
        <v>3150245.49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159915</t>
        </is>
      </c>
      <c r="C60" s="3" t="inlineStr">
        <is>
          <t>易方达创业板ETF</t>
        </is>
      </c>
      <c r="D60" s="23" t="n">
        <v>46286</v>
      </c>
      <c r="E60" s="3" t="n">
        <v>1963045.49</v>
      </c>
      <c r="F60" s="3">
        <f>E60-E59</f>
        <v/>
      </c>
      <c r="G60" s="3">
        <f>F60/E59</f>
        <v/>
      </c>
      <c r="H60" s="3" t="n">
        <v>3150245.49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159915</t>
        </is>
      </c>
      <c r="C61" s="3" t="inlineStr">
        <is>
          <t>易方达创业板ETF</t>
        </is>
      </c>
      <c r="D61" s="23" t="n">
        <v>46287</v>
      </c>
      <c r="E61" s="3" t="n">
        <v>1962745.49</v>
      </c>
      <c r="F61" s="3">
        <f>E61-E60</f>
        <v/>
      </c>
      <c r="G61" s="3">
        <f>F61/E60</f>
        <v/>
      </c>
      <c r="H61" s="3" t="n">
        <v>3150245.49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159915</t>
        </is>
      </c>
      <c r="C62" s="3" t="inlineStr">
        <is>
          <t>易方达创业板ETF</t>
        </is>
      </c>
      <c r="D62" s="23" t="n">
        <v>46288</v>
      </c>
      <c r="E62" s="3" t="n">
        <v>1964845.49</v>
      </c>
      <c r="F62" s="3">
        <f>E62-E61</f>
        <v/>
      </c>
      <c r="G62" s="3">
        <f>F62/E61</f>
        <v/>
      </c>
      <c r="H62" s="3" t="n">
        <v>3150245.49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159915</t>
        </is>
      </c>
      <c r="C63" s="3" t="inlineStr">
        <is>
          <t>易方达创业板ETF</t>
        </is>
      </c>
      <c r="D63" s="23" t="n">
        <v>46289</v>
      </c>
      <c r="E63" s="3" t="n">
        <v>1996345.49</v>
      </c>
      <c r="F63" s="3">
        <f>E63-E62</f>
        <v/>
      </c>
      <c r="G63" s="3">
        <f>F63/E62</f>
        <v/>
      </c>
      <c r="H63" s="3" t="n">
        <v>3150245.49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159915</t>
        </is>
      </c>
      <c r="C64" s="3" t="inlineStr">
        <is>
          <t>易方达创业板ETF</t>
        </is>
      </c>
      <c r="D64" s="23" t="n">
        <v>46293</v>
      </c>
      <c r="E64" s="3" t="n">
        <v>2086445.49</v>
      </c>
      <c r="F64" s="3">
        <f>E64-E63</f>
        <v/>
      </c>
      <c r="G64" s="3">
        <f>F64/E63</f>
        <v/>
      </c>
      <c r="H64" s="3" t="n">
        <v>3150245.49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159915</t>
        </is>
      </c>
      <c r="C65" s="3" t="inlineStr">
        <is>
          <t>易方达创业板ETF</t>
        </is>
      </c>
      <c r="D65" s="23" t="n">
        <v>46294</v>
      </c>
      <c r="E65" s="3" t="n">
        <v>2073045.49</v>
      </c>
      <c r="F65" s="3">
        <f>E65-E64</f>
        <v/>
      </c>
      <c r="G65" s="3">
        <f>F65/E64</f>
        <v/>
      </c>
      <c r="H65" s="3" t="n">
        <v>3150245.49</v>
      </c>
      <c r="I65" s="3">
        <f>F65/H65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2026-09-30T07:05:05Z</dcterms:modified>
</cp:coreProperties>
</file>