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t="inlineStr">
        <is>
          <t>上交所</t>
        </is>
      </c>
      <c r="B29" t="inlineStr">
        <is>
          <t>510050</t>
        </is>
      </c>
      <c r="C29" t="inlineStr">
        <is>
          <t>上证50华夏</t>
        </is>
      </c>
      <c r="D29" s="23" t="n">
        <v>46241</v>
      </c>
      <c r="E29" t="n">
        <v>689466.6800000001</v>
      </c>
      <c r="F29">
        <f>E29-E28</f>
        <v/>
      </c>
      <c r="G29">
        <f>F29/E28</f>
        <v/>
      </c>
      <c r="H29" t="n">
        <v>5666466.68</v>
      </c>
      <c r="I29">
        <f>F29/H29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t="inlineStr">
        <is>
          <t>深交所</t>
        </is>
      </c>
      <c r="B29" t="inlineStr">
        <is>
          <t>159919</t>
        </is>
      </c>
      <c r="C29" t="inlineStr">
        <is>
          <t>沪深300ETF嘉实</t>
        </is>
      </c>
      <c r="D29" s="23" t="n">
        <v>46241</v>
      </c>
      <c r="E29" t="n">
        <v>637851.66</v>
      </c>
      <c r="F29">
        <f>E29-E28</f>
        <v/>
      </c>
      <c r="G29">
        <f>F29/E28</f>
        <v/>
      </c>
      <c r="H29" t="n">
        <v>4081881.66</v>
      </c>
      <c r="I29">
        <f>F29/H29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t="inlineStr">
        <is>
          <t>上交所</t>
        </is>
      </c>
      <c r="B29" t="inlineStr">
        <is>
          <t>510300</t>
        </is>
      </c>
      <c r="C29" t="inlineStr">
        <is>
          <t>沪深300etf华泰柏瑞</t>
        </is>
      </c>
      <c r="D29" s="23" t="n">
        <v>46241</v>
      </c>
      <c r="E29" t="n">
        <v>2512848.77</v>
      </c>
      <c r="F29">
        <f>E29-E28</f>
        <v/>
      </c>
      <c r="G29">
        <f>F29/E28</f>
        <v/>
      </c>
      <c r="H29" t="n">
        <v>8882958.77</v>
      </c>
      <c r="I29">
        <f>F29/H29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连续4日减持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连续4日减持</t>
        </is>
      </c>
      <c r="I3" s="13">
        <f>SUM(INDEX('510300'!$I:$I,COUNTA('510300'!$E:$E)-4+1):INDEX('510300'!$I:$I,COUNTA('510300'!$E:$E)))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连续4日减持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连续6日减持</t>
        </is>
      </c>
      <c r="I5" s="13">
        <f>SUM(INDEX('159915'!$I:$I,COUNTA('159915'!$E:$E)-6+1):INDEX('159915'!$I:$I,COUNTA('159915'!$E:$E)))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t="inlineStr">
        <is>
          <t>深交所</t>
        </is>
      </c>
      <c r="B29" t="inlineStr">
        <is>
          <t>159915</t>
        </is>
      </c>
      <c r="C29" t="inlineStr">
        <is>
          <t>易方达创业板ETF</t>
        </is>
      </c>
      <c r="D29" s="23" t="n">
        <v>46241</v>
      </c>
      <c r="E29" t="n">
        <v>1833945.49</v>
      </c>
      <c r="F29">
        <f>E29-E28</f>
        <v/>
      </c>
      <c r="G29">
        <f>F29/E28</f>
        <v/>
      </c>
      <c r="H29" t="n">
        <v>3150245.49</v>
      </c>
      <c r="I29">
        <f>F29/H29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2026-08-10T03:25:54Z</dcterms:modified>
</cp:coreProperties>
</file>