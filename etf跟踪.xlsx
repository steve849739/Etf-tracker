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t="inlineStr">
        <is>
          <t>上交所</t>
        </is>
      </c>
      <c r="B55" t="inlineStr">
        <is>
          <t>510050</t>
        </is>
      </c>
      <c r="C55" t="inlineStr">
        <is>
          <t>上证50华夏</t>
        </is>
      </c>
      <c r="D55" s="23" t="n">
        <v>46287</v>
      </c>
      <c r="E55" t="n">
        <v>747606.6800000001</v>
      </c>
      <c r="F55">
        <f>E55-E54</f>
        <v/>
      </c>
      <c r="G55">
        <f>F55/E54</f>
        <v/>
      </c>
      <c r="H55" t="n">
        <v>5666466.68</v>
      </c>
      <c r="I55">
        <f>F55/H55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1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t="inlineStr">
        <is>
          <t>深交所</t>
        </is>
      </c>
      <c r="B61" t="inlineStr">
        <is>
          <t>159919</t>
        </is>
      </c>
      <c r="C61" t="inlineStr">
        <is>
          <t>沪深300ETF嘉实</t>
        </is>
      </c>
      <c r="D61" s="23" t="n">
        <v>46287</v>
      </c>
      <c r="E61" t="n">
        <v>644511.66</v>
      </c>
      <c r="F61">
        <f>E61-E60</f>
        <v/>
      </c>
      <c r="G61">
        <f>F61/E60</f>
        <v/>
      </c>
      <c r="H61" t="n">
        <v>4081881.66</v>
      </c>
      <c r="I61">
        <f>F61/H61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t="inlineStr">
        <is>
          <t>上交所</t>
        </is>
      </c>
      <c r="B55" t="inlineStr">
        <is>
          <t>510300</t>
        </is>
      </c>
      <c r="C55" t="inlineStr">
        <is>
          <t>沪深300etf华泰柏瑞</t>
        </is>
      </c>
      <c r="D55" s="23" t="n">
        <v>46287</v>
      </c>
      <c r="E55" t="n">
        <v>2373798.77</v>
      </c>
      <c r="F55">
        <f>E55-E54</f>
        <v/>
      </c>
      <c r="G55">
        <f>F55/E54</f>
        <v/>
      </c>
      <c r="H55" t="n">
        <v>8882958.77</v>
      </c>
      <c r="I55">
        <f>F55/H55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连续2日减持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连续2日增持</t>
        </is>
      </c>
      <c r="I3" s="13">
        <f>SUM(INDEX('510300'!$I:$I,COUNTA('510300'!$E:$E)-2+1):INDEX('510300'!$I:$I,COUNTA('510300'!$E:$E)))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连续2日增持</t>
        </is>
      </c>
      <c r="I4" s="13">
        <f>SUM(INDEX('159919'!$I:$I,COUNTA('159919'!$E:$E)-2+1):INDEX('159919'!$I:$I,COUNTA('159919'!$E:$E)))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连续5日减持</t>
        </is>
      </c>
      <c r="I5" s="13">
        <f>SUM(INDEX('159915'!$I:$I,COUNTA('159915'!$E:$E)-5+1):INDEX('159915'!$I:$I,COUNTA('159915'!$E:$E)))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1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t="inlineStr">
        <is>
          <t>深交所</t>
        </is>
      </c>
      <c r="B61" t="inlineStr">
        <is>
          <t>159915</t>
        </is>
      </c>
      <c r="C61" t="inlineStr">
        <is>
          <t>易方达创业板ETF</t>
        </is>
      </c>
      <c r="D61" s="23" t="n">
        <v>46287</v>
      </c>
      <c r="E61" t="n">
        <v>1962745.49</v>
      </c>
      <c r="F61">
        <f>E61-E60</f>
        <v/>
      </c>
      <c r="G61">
        <f>F61/E60</f>
        <v/>
      </c>
      <c r="H61" t="n">
        <v>3150245.49</v>
      </c>
      <c r="I61">
        <f>F61/H61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2026-09-23T00:00:57Z</dcterms:modified>
</cp:coreProperties>
</file>