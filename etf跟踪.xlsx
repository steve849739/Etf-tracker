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1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  <row r="61">
      <c r="A61" t="inlineStr">
        <is>
          <t>上交所</t>
        </is>
      </c>
      <c r="B61" t="inlineStr">
        <is>
          <t>510050</t>
        </is>
      </c>
      <c r="C61" t="inlineStr">
        <is>
          <t>上证50华夏</t>
        </is>
      </c>
      <c r="D61" s="23" t="n">
        <v>46303</v>
      </c>
      <c r="E61" t="n">
        <v>693516.6800000001</v>
      </c>
      <c r="F61">
        <f>E61-E60</f>
        <v/>
      </c>
      <c r="G61">
        <f>F61/E60</f>
        <v/>
      </c>
      <c r="H61" t="n">
        <v>5666466.68</v>
      </c>
      <c r="I61">
        <f>F61/H61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  <row r="67">
      <c r="A67" t="inlineStr">
        <is>
          <t>深交所</t>
        </is>
      </c>
      <c r="B67" t="inlineStr">
        <is>
          <t>159919</t>
        </is>
      </c>
      <c r="C67" t="inlineStr">
        <is>
          <t>沪深300ETF嘉实</t>
        </is>
      </c>
      <c r="D67" s="23" t="n">
        <v>46303</v>
      </c>
      <c r="E67" t="n">
        <v>687891.66</v>
      </c>
      <c r="F67">
        <f>E67-E66</f>
        <v/>
      </c>
      <c r="G67">
        <f>F67/E66</f>
        <v/>
      </c>
      <c r="H67" t="n">
        <v>4081881.66</v>
      </c>
      <c r="I67">
        <f>F67/H67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1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  <row r="61">
      <c r="A61" t="inlineStr">
        <is>
          <t>上交所</t>
        </is>
      </c>
      <c r="B61" t="inlineStr">
        <is>
          <t>510300</t>
        </is>
      </c>
      <c r="C61" t="inlineStr">
        <is>
          <t>沪深300etf华泰柏瑞</t>
        </is>
      </c>
      <c r="D61" s="23" t="n">
        <v>46303</v>
      </c>
      <c r="E61" t="n">
        <v>2406378.77</v>
      </c>
      <c r="F61">
        <f>E61-E60</f>
        <v/>
      </c>
      <c r="G61">
        <f>F61/E60</f>
        <v/>
      </c>
      <c r="H61" t="n">
        <v>8882958.77</v>
      </c>
      <c r="I61">
        <f>F61/H61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连续3日减持</t>
        </is>
      </c>
      <c r="I2" s="13">
        <f>SUM(INDEX('510050'!$I:$I,COUNTA('510050'!$E:$E)-3+1):INDEX('510050'!$I:$I,COUNTA('510050'!$E:$E)))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连续3日减持</t>
        </is>
      </c>
      <c r="I3" s="13">
        <f>SUM(INDEX('510300'!$I:$I,COUNTA('510300'!$E:$E)-3+1):INDEX('510300'!$I:$I,COUNTA('510300'!$E:$E)))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连续8日增持</t>
        </is>
      </c>
      <c r="I4" s="13">
        <f>SUM(INDEX('159919'!$I:$I,COUNTA('159919'!$E:$E)-8+1):INDEX('159919'!$I:$I,COUNTA('159919'!$E:$E)))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反转增持</t>
        </is>
      </c>
      <c r="I5" s="13">
        <f>SUM(INDEX('159915'!$I:$I,COUNTA('159915'!$E:$E)-1+1):INDEX('159915'!$I:$I,COUNTA('159915'!$E:$E)))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7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  <row r="67">
      <c r="A67" t="inlineStr">
        <is>
          <t>深交所</t>
        </is>
      </c>
      <c r="B67" t="inlineStr">
        <is>
          <t>159915</t>
        </is>
      </c>
      <c r="C67" t="inlineStr">
        <is>
          <t>易方达创业板ETF</t>
        </is>
      </c>
      <c r="D67" s="23" t="n">
        <v>46303</v>
      </c>
      <c r="E67" t="n">
        <v>2130845.49</v>
      </c>
      <c r="F67">
        <f>E67-E66</f>
        <v/>
      </c>
      <c r="G67">
        <f>F67/E66</f>
        <v/>
      </c>
      <c r="H67" t="n">
        <v>3150245.49</v>
      </c>
      <c r="I67">
        <f>F67/H67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2026-10-09T00:00:52Z</dcterms:modified>
</cp:coreProperties>
</file>