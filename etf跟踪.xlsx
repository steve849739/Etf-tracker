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510050</t>
        </is>
      </c>
      <c r="C71" s="3" t="inlineStr">
        <is>
          <t>上证50华夏</t>
        </is>
      </c>
      <c r="D71" s="23" t="n">
        <v>46318</v>
      </c>
      <c r="E71" s="3" t="n">
        <v>1299306.68</v>
      </c>
      <c r="F71" s="3">
        <f>E71-E70</f>
        <v/>
      </c>
      <c r="G71" s="3">
        <f>F71/E70</f>
        <v/>
      </c>
      <c r="H71" s="3" t="n">
        <v>5666466.68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510050</t>
        </is>
      </c>
      <c r="C72" s="3" t="inlineStr">
        <is>
          <t>上证50华夏</t>
        </is>
      </c>
      <c r="D72" s="23" t="n">
        <v>46321</v>
      </c>
      <c r="E72" s="3" t="n">
        <v>1265736.68</v>
      </c>
      <c r="F72" s="3">
        <f>E72-E71</f>
        <v/>
      </c>
      <c r="G72" s="3">
        <f>F72/E71</f>
        <v/>
      </c>
      <c r="H72" s="3" t="n">
        <v>5666466.68</v>
      </c>
      <c r="I72" s="3">
        <f>F72/H72</f>
        <v/>
      </c>
    </row>
    <row r="73">
      <c r="A73" s="3" t="inlineStr">
        <is>
          <t>上交所</t>
        </is>
      </c>
      <c r="B73" s="3" t="inlineStr">
        <is>
          <t>510050</t>
        </is>
      </c>
      <c r="C73" s="3" t="inlineStr">
        <is>
          <t>上证50华夏</t>
        </is>
      </c>
      <c r="D73" s="23" t="n">
        <v>46322</v>
      </c>
      <c r="E73" s="3" t="n">
        <v>1279146.68</v>
      </c>
      <c r="F73" s="3">
        <f>E73-E72</f>
        <v/>
      </c>
      <c r="G73" s="3">
        <f>F73/E72</f>
        <v/>
      </c>
      <c r="H73" s="3" t="n">
        <v>5666466.68</v>
      </c>
      <c r="I73" s="3">
        <f>F73/H73</f>
        <v/>
      </c>
    </row>
    <row r="74">
      <c r="A74" s="3" t="inlineStr">
        <is>
          <t>上交所</t>
        </is>
      </c>
      <c r="B74" s="3" t="inlineStr">
        <is>
          <t>510050</t>
        </is>
      </c>
      <c r="C74" s="3" t="inlineStr">
        <is>
          <t>上证50华夏</t>
        </is>
      </c>
      <c r="D74" s="23" t="n">
        <v>46323</v>
      </c>
      <c r="E74" s="3" t="n">
        <v>1255656.68</v>
      </c>
      <c r="F74" s="3">
        <f>E74-E73</f>
        <v/>
      </c>
      <c r="G74" s="3">
        <f>F74/E73</f>
        <v/>
      </c>
      <c r="H74" s="3" t="n">
        <v>5666466.68</v>
      </c>
      <c r="I74" s="3">
        <f>F74/H74</f>
        <v/>
      </c>
    </row>
    <row r="75">
      <c r="A75" t="inlineStr">
        <is>
          <t>上交所</t>
        </is>
      </c>
      <c r="B75" t="inlineStr">
        <is>
          <t>510050</t>
        </is>
      </c>
      <c r="C75" t="inlineStr">
        <is>
          <t>上证50华夏</t>
        </is>
      </c>
      <c r="D75" s="23" t="n">
        <v>46324</v>
      </c>
      <c r="E75" t="n">
        <v>1231986.68</v>
      </c>
      <c r="F75">
        <f>E75-E74</f>
        <v/>
      </c>
      <c r="G75">
        <f>F75/E74</f>
        <v/>
      </c>
      <c r="H75" t="n">
        <v>5666466.68</v>
      </c>
      <c r="I75">
        <f>F75/H75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159919</t>
        </is>
      </c>
      <c r="C77" s="3" t="inlineStr">
        <is>
          <t>沪深300ETF嘉实</t>
        </is>
      </c>
      <c r="D77" s="23" t="n">
        <v>46317</v>
      </c>
      <c r="E77" s="3" t="n">
        <v>976791.66</v>
      </c>
      <c r="F77" s="3">
        <f>E77-E76</f>
        <v/>
      </c>
      <c r="G77" s="3">
        <f>F77/E76</f>
        <v/>
      </c>
      <c r="H77" s="3" t="n">
        <v>4081881.66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159919</t>
        </is>
      </c>
      <c r="C78" s="3" t="inlineStr">
        <is>
          <t>沪深300ETF嘉实</t>
        </is>
      </c>
      <c r="D78" s="23" t="n">
        <v>46318</v>
      </c>
      <c r="E78" s="3" t="n">
        <v>998751.66</v>
      </c>
      <c r="F78" s="3">
        <f>E78-E77</f>
        <v/>
      </c>
      <c r="G78" s="3">
        <f>F78/E77</f>
        <v/>
      </c>
      <c r="H78" s="3" t="n">
        <v>4081881.66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159919</t>
        </is>
      </c>
      <c r="C79" s="3" t="inlineStr">
        <is>
          <t>沪深300ETF嘉实</t>
        </is>
      </c>
      <c r="D79" s="23" t="n">
        <v>46321</v>
      </c>
      <c r="E79" s="3" t="n">
        <v>1040601.66</v>
      </c>
      <c r="F79" s="3">
        <f>E79-E78</f>
        <v/>
      </c>
      <c r="G79" s="3">
        <f>F79/E78</f>
        <v/>
      </c>
      <c r="H79" s="3" t="n">
        <v>4081881.66</v>
      </c>
      <c r="I79" s="3">
        <f>F79/H79</f>
        <v/>
      </c>
    </row>
    <row r="80">
      <c r="A80" s="3" t="inlineStr">
        <is>
          <t>深交所</t>
        </is>
      </c>
      <c r="B80" s="3" t="inlineStr">
        <is>
          <t>159919</t>
        </is>
      </c>
      <c r="C80" s="3" t="inlineStr">
        <is>
          <t>沪深300ETF嘉实</t>
        </is>
      </c>
      <c r="D80" s="23" t="n">
        <v>46322</v>
      </c>
      <c r="E80" s="3" t="n">
        <v>1039611.66</v>
      </c>
      <c r="F80" s="3">
        <f>E80-E79</f>
        <v/>
      </c>
      <c r="G80" s="3">
        <f>F80/E79</f>
        <v/>
      </c>
      <c r="H80" s="3" t="n">
        <v>4081881.66</v>
      </c>
      <c r="I80" s="3">
        <f>F80/H80</f>
        <v/>
      </c>
    </row>
    <row r="81">
      <c r="A81" s="3" t="inlineStr">
        <is>
          <t>深交所</t>
        </is>
      </c>
      <c r="B81" s="3" t="inlineStr">
        <is>
          <t>159919</t>
        </is>
      </c>
      <c r="C81" s="3" t="inlineStr">
        <is>
          <t>沪深300ETF嘉实</t>
        </is>
      </c>
      <c r="D81" s="23" t="n">
        <v>46323</v>
      </c>
      <c r="E81" s="3" t="n">
        <v>1075881.66</v>
      </c>
      <c r="F81" s="3">
        <f>E81-E80</f>
        <v/>
      </c>
      <c r="G81" s="3">
        <f>F81/E80</f>
        <v/>
      </c>
      <c r="H81" s="3" t="n">
        <v>4081881.66</v>
      </c>
      <c r="I81" s="3">
        <f>F81/H81</f>
        <v/>
      </c>
    </row>
    <row r="82">
      <c r="A82" t="inlineStr">
        <is>
          <t>深交所</t>
        </is>
      </c>
      <c r="B82" t="inlineStr">
        <is>
          <t>159919</t>
        </is>
      </c>
      <c r="C82" t="inlineStr">
        <is>
          <t>沪深300ETF嘉实</t>
        </is>
      </c>
      <c r="D82" s="23" t="n">
        <v>46324</v>
      </c>
      <c r="E82" t="n">
        <v>1152651.66</v>
      </c>
      <c r="F82">
        <f>E82-E81</f>
        <v/>
      </c>
      <c r="G82">
        <f>F82/E81</f>
        <v/>
      </c>
      <c r="H82" t="n">
        <v>4081881.66</v>
      </c>
      <c r="I82">
        <f>F82/H82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510300</t>
        </is>
      </c>
      <c r="C71" s="3" t="inlineStr">
        <is>
          <t>沪深300etf华泰柏瑞</t>
        </is>
      </c>
      <c r="D71" s="23" t="n">
        <v>46317</v>
      </c>
      <c r="E71" s="3" t="n">
        <v>3272988.77</v>
      </c>
      <c r="F71" s="3">
        <f>E71-E70</f>
        <v/>
      </c>
      <c r="G71" s="3">
        <f>F71/E70</f>
        <v/>
      </c>
      <c r="H71" s="3" t="n">
        <v>8882958.77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510300</t>
        </is>
      </c>
      <c r="C72" s="3" t="inlineStr">
        <is>
          <t>沪深300etf华泰柏瑞</t>
        </is>
      </c>
      <c r="D72" s="23" t="n">
        <v>46318</v>
      </c>
      <c r="E72" s="3" t="n">
        <v>3524268.77</v>
      </c>
      <c r="F72" s="3">
        <f>E72-E71</f>
        <v/>
      </c>
      <c r="G72" s="3">
        <f>F72/E71</f>
        <v/>
      </c>
      <c r="H72" s="3" t="n">
        <v>8882958.77</v>
      </c>
      <c r="I72" s="3">
        <f>F72/H72</f>
        <v/>
      </c>
    </row>
    <row r="73">
      <c r="A73" s="3" t="inlineStr">
        <is>
          <t>上交所</t>
        </is>
      </c>
      <c r="B73" s="3" t="inlineStr">
        <is>
          <t>510300</t>
        </is>
      </c>
      <c r="C73" s="3" t="inlineStr">
        <is>
          <t>沪深300etf华泰柏瑞</t>
        </is>
      </c>
      <c r="D73" s="23" t="n">
        <v>46321</v>
      </c>
      <c r="E73" s="3" t="n">
        <v>3544698.77</v>
      </c>
      <c r="F73" s="3">
        <f>E73-E72</f>
        <v/>
      </c>
      <c r="G73" s="3">
        <f>F73/E72</f>
        <v/>
      </c>
      <c r="H73" s="3" t="n">
        <v>8882958.77</v>
      </c>
      <c r="I73" s="3">
        <f>F73/H73</f>
        <v/>
      </c>
    </row>
    <row r="74">
      <c r="A74" s="3" t="inlineStr">
        <is>
          <t>上交所</t>
        </is>
      </c>
      <c r="B74" s="3" t="inlineStr">
        <is>
          <t>510300</t>
        </is>
      </c>
      <c r="C74" s="3" t="inlineStr">
        <is>
          <t>沪深300etf华泰柏瑞</t>
        </is>
      </c>
      <c r="D74" s="23" t="n">
        <v>46322</v>
      </c>
      <c r="E74" s="3" t="n">
        <v>3623808.77</v>
      </c>
      <c r="F74" s="3">
        <f>E74-E73</f>
        <v/>
      </c>
      <c r="G74" s="3">
        <f>F74/E73</f>
        <v/>
      </c>
      <c r="H74" s="3" t="n">
        <v>8882958.77</v>
      </c>
      <c r="I74" s="3">
        <f>F74/H74</f>
        <v/>
      </c>
    </row>
    <row r="75">
      <c r="A75" s="3" t="inlineStr">
        <is>
          <t>上交所</t>
        </is>
      </c>
      <c r="B75" s="3" t="inlineStr">
        <is>
          <t>510300</t>
        </is>
      </c>
      <c r="C75" s="3" t="inlineStr">
        <is>
          <t>沪深300etf华泰柏瑞</t>
        </is>
      </c>
      <c r="D75" s="23" t="n">
        <v>46323</v>
      </c>
      <c r="E75" s="3" t="n">
        <v>3637758.77</v>
      </c>
      <c r="F75" s="3">
        <f>E75-E74</f>
        <v/>
      </c>
      <c r="G75" s="3">
        <f>F75/E74</f>
        <v/>
      </c>
      <c r="H75" s="3" t="n">
        <v>8882958.77</v>
      </c>
      <c r="I75" s="3">
        <f>F75/H75</f>
        <v/>
      </c>
    </row>
    <row r="76">
      <c r="A76" t="inlineStr">
        <is>
          <t>上交所</t>
        </is>
      </c>
      <c r="B76" t="inlineStr">
        <is>
          <t>510300</t>
        </is>
      </c>
      <c r="C76" t="inlineStr">
        <is>
          <t>沪深300etf华泰柏瑞</t>
        </is>
      </c>
      <c r="D76" s="23" t="n">
        <v>46324</v>
      </c>
      <c r="E76" t="n">
        <v>3747558.77</v>
      </c>
      <c r="F76">
        <f>E76-E75</f>
        <v/>
      </c>
      <c r="G76">
        <f>F76/E75</f>
        <v/>
      </c>
      <c r="H76" t="n">
        <v>8882958.77</v>
      </c>
      <c r="I76">
        <f>F76/H76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连续11日增持</t>
        </is>
      </c>
      <c r="I3" s="13">
        <f>SUM(INDEX('510300'!$I:$I,COUNTA('510300'!$E:$E)-11+1):INDEX('510300'!$I:$I,COUNTA('510300'!$E:$E)))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159915</t>
        </is>
      </c>
      <c r="C77" s="3" t="inlineStr">
        <is>
          <t>易方达创业板ETF</t>
        </is>
      </c>
      <c r="D77" s="23" t="n">
        <v>46317</v>
      </c>
      <c r="E77" s="3" t="n">
        <v>3130545.49</v>
      </c>
      <c r="F77" s="3">
        <f>E77-E76</f>
        <v/>
      </c>
      <c r="G77" s="3">
        <f>F77/E76</f>
        <v/>
      </c>
      <c r="H77" s="3" t="n">
        <v>3150245.49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159915</t>
        </is>
      </c>
      <c r="C78" s="3" t="inlineStr">
        <is>
          <t>易方达创业板ETF</t>
        </is>
      </c>
      <c r="D78" s="23" t="n">
        <v>46318</v>
      </c>
      <c r="E78" s="3" t="n">
        <v>3375745.49</v>
      </c>
      <c r="F78" s="3">
        <f>E78-E77</f>
        <v/>
      </c>
      <c r="G78" s="3">
        <f>F78/E77</f>
        <v/>
      </c>
      <c r="H78" s="3" t="n">
        <v>3150245.49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159915</t>
        </is>
      </c>
      <c r="C79" s="3" t="inlineStr">
        <is>
          <t>易方达创业板ETF</t>
        </is>
      </c>
      <c r="D79" s="23" t="n">
        <v>46321</v>
      </c>
      <c r="E79" s="3" t="n">
        <v>3470745.49</v>
      </c>
      <c r="F79" s="3">
        <f>E79-E78</f>
        <v/>
      </c>
      <c r="G79" s="3">
        <f>F79/E78</f>
        <v/>
      </c>
      <c r="H79" s="3" t="n">
        <v>3150245.49</v>
      </c>
      <c r="I79" s="3">
        <f>F79/H79</f>
        <v/>
      </c>
    </row>
    <row r="80">
      <c r="A80" s="3" t="inlineStr">
        <is>
          <t>深交所</t>
        </is>
      </c>
      <c r="B80" s="3" t="inlineStr">
        <is>
          <t>159915</t>
        </is>
      </c>
      <c r="C80" s="3" t="inlineStr">
        <is>
          <t>易方达创业板ETF</t>
        </is>
      </c>
      <c r="D80" s="23" t="n">
        <v>46322</v>
      </c>
      <c r="E80" s="3" t="n">
        <v>3514445.49</v>
      </c>
      <c r="F80" s="3">
        <f>E80-E79</f>
        <v/>
      </c>
      <c r="G80" s="3">
        <f>F80/E79</f>
        <v/>
      </c>
      <c r="H80" s="3" t="n">
        <v>3150245.49</v>
      </c>
      <c r="I80" s="3">
        <f>F80/H80</f>
        <v/>
      </c>
    </row>
    <row r="81">
      <c r="A81" s="3" t="inlineStr">
        <is>
          <t>深交所</t>
        </is>
      </c>
      <c r="B81" s="3" t="inlineStr">
        <is>
          <t>159915</t>
        </is>
      </c>
      <c r="C81" s="3" t="inlineStr">
        <is>
          <t>易方达创业板ETF</t>
        </is>
      </c>
      <c r="D81" s="23" t="n">
        <v>46323</v>
      </c>
      <c r="E81" s="3" t="n">
        <v>3490345.49</v>
      </c>
      <c r="F81" s="3">
        <f>E81-E80</f>
        <v/>
      </c>
      <c r="G81" s="3">
        <f>F81/E80</f>
        <v/>
      </c>
      <c r="H81" s="3" t="n">
        <v>3150245.49</v>
      </c>
      <c r="I81" s="3">
        <f>F81/H81</f>
        <v/>
      </c>
    </row>
    <row r="82">
      <c r="A82" t="inlineStr">
        <is>
          <t>深交所</t>
        </is>
      </c>
      <c r="B82" t="inlineStr">
        <is>
          <t>159915</t>
        </is>
      </c>
      <c r="C82" t="inlineStr">
        <is>
          <t>易方达创业板ETF</t>
        </is>
      </c>
      <c r="D82" s="23" t="n">
        <v>46324</v>
      </c>
      <c r="E82" t="n">
        <v>3638445.49</v>
      </c>
      <c r="F82">
        <f>E82-E81</f>
        <v/>
      </c>
      <c r="G82">
        <f>F82/E81</f>
        <v/>
      </c>
      <c r="H82" t="n">
        <v>3150245.49</v>
      </c>
      <c r="I82">
        <f>F82/H82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2026-10-30T00:00:55Z</dcterms:modified>
</cp:coreProperties>
</file>