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510050" sheetId="1" state="visible" r:id="rId1"/>
    <sheet name="159919" sheetId="2" state="visible" r:id="rId2"/>
    <sheet name="510300" sheetId="3" state="visible" r:id="rId3"/>
    <sheet name="总结" sheetId="4" state="visible" r:id="rId4"/>
    <sheet name="15991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_ * #,##0.00_ ;_ * -#,##0.00_ ;_ * &quot;-&quot;??_ ;_ @_ "/>
  </numFmts>
  <fonts count="5">
    <font>
      <name val="等线"/>
      <charset val="134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FFFFFF"/>
    </font>
    <font>
      <name val="等线"/>
      <charset val="134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B50005"/>
      </patternFill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4" fillId="3" borderId="1" applyAlignment="1">
      <alignment vertical="center"/>
    </xf>
    <xf numFmtId="166" fontId="4" fillId="3" borderId="1" applyAlignment="1">
      <alignment vertical="center"/>
    </xf>
    <xf numFmtId="9" fontId="4" fillId="3" borderId="1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bottom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bottom"/>
    </xf>
    <xf numFmtId="10" fontId="3" fillId="2" borderId="1" applyAlignment="1" pivotButton="0" quotePrefix="0" xfId="0">
      <alignment horizontal="center" vertical="center"/>
    </xf>
    <xf numFmtId="10" fontId="4" fillId="3" borderId="1" applyAlignment="1" pivotButton="0" quotePrefix="0" xfId="0">
      <alignment vertical="center"/>
    </xf>
    <xf numFmtId="165" fontId="4" fillId="3" borderId="1" applyAlignment="1" pivotButton="0" quotePrefix="0" xfId="0">
      <alignment vertical="bottom"/>
    </xf>
    <xf numFmtId="4" fontId="4" fillId="3" borderId="1" applyAlignment="1" pivotButton="0" quotePrefix="0" xfId="0">
      <alignment vertical="bottom"/>
    </xf>
    <xf numFmtId="10" fontId="4" fillId="3" borderId="1" applyAlignment="1" pivotButton="0" quotePrefix="0" xfId="0">
      <alignment vertical="bottom"/>
    </xf>
    <xf numFmtId="68" fontId="3" fillId="2" borderId="1" applyAlignment="1" pivotButton="0" quotePrefix="0" xfId="0">
      <alignment horizontal="center" vertical="center"/>
    </xf>
    <xf numFmtId="68" fontId="4" fillId="3" borderId="1" applyAlignment="1" pivotButton="0" quotePrefix="0" xfId="0">
      <alignment vertical="center"/>
    </xf>
    <xf numFmtId="68" fontId="4" fillId="3" borderId="1" applyAlignment="1" pivotButton="0" quotePrefix="0" xfId="0">
      <alignment vertical="center"/>
    </xf>
    <xf numFmtId="1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bottom"/>
    </xf>
    <xf numFmtId="165" fontId="4" fillId="3" borderId="1" applyAlignment="1" pivotButton="0" quotePrefix="0" xfId="0">
      <alignment vertical="bottom"/>
    </xf>
    <xf numFmtId="164" fontId="0" fillId="0" borderId="0" pivotButton="0" quotePrefix="0" xfId="0"/>
  </cellXfs>
  <cellStyles count="3">
    <cellStyle name="常规" xfId="0" builtinId="0"/>
    <cellStyle name="千位分隔" xfId="1" builtinId="3"/>
    <cellStyle name="百分比" xfId="2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showGridLines="1" workbookViewId="0">
      <selection activeCell="A1" sqref="A1"/>
    </sheetView>
  </sheetViews>
  <sheetFormatPr baseColWidth="8" defaultRowHeight="15"/>
  <cols>
    <col width="12.8828" customWidth="1" style="17" min="9" max="9"/>
  </cols>
  <sheetData>
    <row r="1">
      <c r="A1" s="19" t="inlineStr">
        <is>
          <t>来源</t>
        </is>
      </c>
      <c r="B1" s="19" t="inlineStr">
        <is>
          <t>代码</t>
        </is>
      </c>
      <c r="C1" s="19" t="inlineStr">
        <is>
          <t>名称</t>
        </is>
      </c>
      <c r="D1" s="19" t="inlineStr">
        <is>
          <t>日期</t>
        </is>
      </c>
      <c r="E1" s="19" t="inlineStr">
        <is>
          <t>当日公示份额（万份）</t>
        </is>
      </c>
      <c r="F1" s="19" t="inlineStr">
        <is>
          <t>当日变化</t>
        </is>
      </c>
      <c r="G1" s="19" t="inlineStr">
        <is>
          <t>环比变动比例</t>
        </is>
      </c>
      <c r="H1" s="19" t="inlineStr">
        <is>
          <t>基期总份额</t>
        </is>
      </c>
      <c r="I1" s="14" t="inlineStr">
        <is>
          <t>相对基期变动比例</t>
        </is>
      </c>
    </row>
    <row r="2">
      <c r="A2" s="20" t="inlineStr">
        <is>
          <t>上交所</t>
        </is>
      </c>
      <c r="B2" s="20" t="inlineStr">
        <is>
          <t>510050</t>
        </is>
      </c>
      <c r="C2" s="20" t="inlineStr">
        <is>
          <t>上证50华夏</t>
        </is>
      </c>
      <c r="D2" s="21" t="n">
        <v>46204</v>
      </c>
      <c r="E2" s="20" t="n">
        <v>638886.6800000001</v>
      </c>
      <c r="H2" s="20" t="n">
        <v>5666466.68</v>
      </c>
    </row>
    <row r="3">
      <c r="A3" s="20" t="inlineStr">
        <is>
          <t>上交所</t>
        </is>
      </c>
      <c r="B3" s="20" t="inlineStr">
        <is>
          <t>510050</t>
        </is>
      </c>
      <c r="C3" s="20" t="inlineStr">
        <is>
          <t>上证50华夏</t>
        </is>
      </c>
      <c r="D3" s="21" t="n">
        <v>46205</v>
      </c>
      <c r="E3" s="20" t="n">
        <v>667596.6800000001</v>
      </c>
      <c r="F3" s="20">
        <f>=E3-E2</f>
        <v/>
      </c>
      <c r="G3" s="20">
        <f>=F3/E2</f>
        <v/>
      </c>
      <c r="H3" s="20" t="n">
        <v>5666466.68</v>
      </c>
      <c r="I3" s="16">
        <f>=F3/H3</f>
        <v/>
      </c>
    </row>
    <row r="4">
      <c r="A4" s="20" t="inlineStr">
        <is>
          <t>上交所</t>
        </is>
      </c>
      <c r="B4" s="20" t="inlineStr">
        <is>
          <t>510050</t>
        </is>
      </c>
      <c r="C4" s="20" t="inlineStr">
        <is>
          <t>上证50华夏</t>
        </is>
      </c>
      <c r="D4" s="21" t="n">
        <v>46206</v>
      </c>
      <c r="E4" s="20" t="n">
        <v>653736.6800000001</v>
      </c>
      <c r="F4" s="20">
        <f>=E4-E3</f>
        <v/>
      </c>
      <c r="G4" s="20">
        <f>=F4/E3</f>
        <v/>
      </c>
      <c r="H4" s="20" t="n">
        <v>5666466.68</v>
      </c>
      <c r="I4" s="16">
        <f>=F4/H4</f>
        <v/>
      </c>
    </row>
    <row r="5">
      <c r="A5" s="20" t="inlineStr">
        <is>
          <t>上交所</t>
        </is>
      </c>
      <c r="B5" s="20" t="inlineStr">
        <is>
          <t>510050</t>
        </is>
      </c>
      <c r="C5" s="20" t="inlineStr">
        <is>
          <t>上证50华夏</t>
        </is>
      </c>
      <c r="D5" s="21" t="n">
        <v>46209</v>
      </c>
      <c r="E5" s="20" t="n">
        <v>640506.6800000001</v>
      </c>
      <c r="F5" s="20">
        <f>=E5-E4</f>
        <v/>
      </c>
      <c r="G5" s="20">
        <f>=F5/E4</f>
        <v/>
      </c>
      <c r="H5" s="20" t="n">
        <v>5666466.68</v>
      </c>
      <c r="I5" s="16">
        <f>=F5/H5</f>
        <v/>
      </c>
    </row>
    <row r="6">
      <c r="A6" s="20" t="inlineStr">
        <is>
          <t>上交所</t>
        </is>
      </c>
      <c r="B6" s="20" t="inlineStr">
        <is>
          <t>510050</t>
        </is>
      </c>
      <c r="C6" s="20" t="inlineStr">
        <is>
          <t>上证50华夏</t>
        </is>
      </c>
      <c r="D6" s="21" t="n">
        <v>46210</v>
      </c>
      <c r="E6" s="20" t="n">
        <v>654456.6800000001</v>
      </c>
      <c r="F6" s="20">
        <f>=E6-E5</f>
        <v/>
      </c>
      <c r="G6" s="20">
        <f>=F6/E5</f>
        <v/>
      </c>
      <c r="H6" s="20" t="n">
        <v>5666466.68</v>
      </c>
      <c r="I6" s="16">
        <f>=F6/H6</f>
        <v/>
      </c>
    </row>
    <row r="7">
      <c r="A7" s="20" t="inlineStr">
        <is>
          <t>上交所</t>
        </is>
      </c>
      <c r="B7" s="20" t="inlineStr">
        <is>
          <t>510050</t>
        </is>
      </c>
      <c r="C7" s="20" t="inlineStr">
        <is>
          <t>上证50华夏</t>
        </is>
      </c>
      <c r="D7" s="21" t="n">
        <v>46211</v>
      </c>
      <c r="E7" s="20" t="n">
        <v>659586.6800000001</v>
      </c>
      <c r="F7" s="20">
        <f>=E7-E6</f>
        <v/>
      </c>
      <c r="G7" s="20">
        <f>=F7/E6</f>
        <v/>
      </c>
      <c r="H7" s="20" t="n">
        <v>5666466.68</v>
      </c>
      <c r="I7" s="16">
        <f>=F7/H7</f>
        <v/>
      </c>
    </row>
    <row r="8">
      <c r="A8" s="20" t="inlineStr">
        <is>
          <t>上交所</t>
        </is>
      </c>
      <c r="B8" s="20" t="inlineStr">
        <is>
          <t>510050</t>
        </is>
      </c>
      <c r="C8" s="20" t="inlineStr">
        <is>
          <t>上证50华夏</t>
        </is>
      </c>
      <c r="D8" s="21" t="n">
        <v>46212</v>
      </c>
      <c r="E8" s="20" t="n">
        <v>658686.6800000001</v>
      </c>
      <c r="F8" s="20">
        <f>=E8-E7</f>
        <v/>
      </c>
      <c r="G8" s="20">
        <f>=F8/E7</f>
        <v/>
      </c>
      <c r="H8" s="20" t="n">
        <v>5666466.68</v>
      </c>
      <c r="I8" s="16">
        <f>=F8/H8</f>
        <v/>
      </c>
    </row>
    <row r="9">
      <c r="A9" s="20" t="inlineStr">
        <is>
          <t>上交所</t>
        </is>
      </c>
      <c r="B9" s="20" t="inlineStr">
        <is>
          <t>510050</t>
        </is>
      </c>
      <c r="C9" s="20" t="inlineStr">
        <is>
          <t>上证50华夏</t>
        </is>
      </c>
      <c r="D9" s="21" t="n">
        <v>46213</v>
      </c>
      <c r="E9" s="20" t="n">
        <v>640866.6800000001</v>
      </c>
      <c r="F9" s="20">
        <f>=E9-E8</f>
        <v/>
      </c>
      <c r="G9" s="20">
        <f>=F9/E8</f>
        <v/>
      </c>
      <c r="H9" s="20" t="n">
        <v>5666466.68</v>
      </c>
      <c r="I9" s="16">
        <f>=F9/H9</f>
        <v/>
      </c>
    </row>
    <row r="10">
      <c r="A10" s="20" t="inlineStr">
        <is>
          <t>上交所</t>
        </is>
      </c>
      <c r="B10" s="20" t="inlineStr">
        <is>
          <t>510050</t>
        </is>
      </c>
      <c r="C10" s="20" t="inlineStr">
        <is>
          <t>上证50华夏</t>
        </is>
      </c>
      <c r="D10" s="21" t="n">
        <v>46216</v>
      </c>
      <c r="E10" s="20" t="n">
        <v>666786.6800000001</v>
      </c>
      <c r="F10" s="20">
        <f>=E10-E9</f>
        <v/>
      </c>
      <c r="G10" s="20">
        <f>=F10/E9</f>
        <v/>
      </c>
      <c r="H10" s="20" t="n">
        <v>5666466.68</v>
      </c>
      <c r="I10" s="16">
        <f>=F10/H10</f>
        <v/>
      </c>
    </row>
    <row r="11">
      <c r="A11" s="20" t="inlineStr">
        <is>
          <t>上交所</t>
        </is>
      </c>
      <c r="B11" s="20" t="inlineStr">
        <is>
          <t>510050</t>
        </is>
      </c>
      <c r="C11" s="20" t="inlineStr">
        <is>
          <t>上证50华夏</t>
        </is>
      </c>
      <c r="D11" s="21" t="n">
        <v>46217</v>
      </c>
      <c r="E11" s="20" t="n">
        <v>685236.6800000001</v>
      </c>
      <c r="F11" s="20">
        <f>=E11-E10</f>
        <v/>
      </c>
      <c r="G11" s="20">
        <f>=F11/E10</f>
        <v/>
      </c>
      <c r="H11" s="20" t="n">
        <v>5666466.68</v>
      </c>
      <c r="I11" s="16">
        <f>=F11/H11</f>
        <v/>
      </c>
    </row>
    <row r="12">
      <c r="A12" s="20" t="inlineStr">
        <is>
          <t>上交所</t>
        </is>
      </c>
      <c r="B12" s="20" t="inlineStr">
        <is>
          <t>510050</t>
        </is>
      </c>
      <c r="C12" s="20" t="inlineStr">
        <is>
          <t>上证50华夏</t>
        </is>
      </c>
      <c r="D12" s="21" t="n">
        <v>46218</v>
      </c>
      <c r="E12" s="20" t="n">
        <v>726006.6800000001</v>
      </c>
      <c r="F12" s="20">
        <f>=E12-E11</f>
        <v/>
      </c>
      <c r="G12" s="20">
        <f>=F12/E11</f>
        <v/>
      </c>
      <c r="H12" s="20" t="n">
        <v>5666466.68</v>
      </c>
      <c r="I12" s="16">
        <f>=F12/H12</f>
        <v/>
      </c>
    </row>
    <row r="13">
      <c r="A13" s="20" t="inlineStr">
        <is>
          <t>上交所</t>
        </is>
      </c>
      <c r="B13" s="20" t="inlineStr">
        <is>
          <t>510050</t>
        </is>
      </c>
      <c r="C13" s="20" t="inlineStr">
        <is>
          <t>上证50华夏</t>
        </is>
      </c>
      <c r="D13" s="21" t="n">
        <v>46219</v>
      </c>
      <c r="E13" s="20" t="n">
        <v>815016.6800000001</v>
      </c>
      <c r="F13" s="20">
        <f>=E13-E12</f>
        <v/>
      </c>
      <c r="G13" s="20">
        <f>=F13/E12</f>
        <v/>
      </c>
      <c r="H13" s="20" t="n">
        <v>5666466.68</v>
      </c>
      <c r="I13" s="16">
        <f>=F13/H13</f>
        <v/>
      </c>
    </row>
    <row r="14">
      <c r="A14" s="20" t="inlineStr">
        <is>
          <t>上交所</t>
        </is>
      </c>
      <c r="B14" s="20" t="inlineStr">
        <is>
          <t>510050</t>
        </is>
      </c>
      <c r="C14" s="20" t="inlineStr">
        <is>
          <t>上证50华夏</t>
        </is>
      </c>
      <c r="D14" s="21" t="n">
        <v>46220</v>
      </c>
      <c r="E14" s="20" t="n">
        <v>823746.6800000001</v>
      </c>
      <c r="F14" s="20">
        <f>=E14-E13</f>
        <v/>
      </c>
      <c r="G14" s="20">
        <f>=F14/E13</f>
        <v/>
      </c>
      <c r="H14" s="20" t="n">
        <v>5666466.68</v>
      </c>
      <c r="I14" s="16">
        <f>=F14/H14</f>
        <v/>
      </c>
    </row>
    <row r="15">
      <c r="A15" s="20" t="inlineStr">
        <is>
          <t>上交所</t>
        </is>
      </c>
      <c r="B15" s="20" t="inlineStr">
        <is>
          <t>510050</t>
        </is>
      </c>
      <c r="C15" s="20" t="inlineStr">
        <is>
          <t>上证50华夏</t>
        </is>
      </c>
      <c r="D15" s="21" t="n">
        <v>46223</v>
      </c>
      <c r="E15" s="20" t="n">
        <v>832206.6800000001</v>
      </c>
      <c r="F15" s="20">
        <f>=E15-E14</f>
        <v/>
      </c>
      <c r="G15" s="20">
        <f>=F15/E14</f>
        <v/>
      </c>
      <c r="H15" s="20" t="n">
        <v>5666466.68</v>
      </c>
      <c r="I15" s="16">
        <f>=F15/H15</f>
        <v/>
      </c>
    </row>
    <row r="16">
      <c r="A16" s="20" t="inlineStr">
        <is>
          <t>上交所</t>
        </is>
      </c>
      <c r="B16" s="20" t="inlineStr">
        <is>
          <t>510050</t>
        </is>
      </c>
      <c r="C16" s="20" t="inlineStr">
        <is>
          <t>上证50华夏</t>
        </is>
      </c>
      <c r="D16" s="21" t="n">
        <v>46224</v>
      </c>
      <c r="E16" s="20" t="n">
        <v>747606.6800000001</v>
      </c>
      <c r="F16" s="20">
        <f>=E16-E15</f>
        <v/>
      </c>
      <c r="G16" s="20">
        <f>=F16/E15</f>
        <v/>
      </c>
      <c r="H16" s="20" t="n">
        <v>5666466.68</v>
      </c>
      <c r="I16" s="16">
        <f>=F16/H16</f>
        <v/>
      </c>
    </row>
    <row r="17">
      <c r="A17" s="20" t="inlineStr">
        <is>
          <t>上交所</t>
        </is>
      </c>
      <c r="B17" s="20" t="inlineStr">
        <is>
          <t>510050</t>
        </is>
      </c>
      <c r="C17" s="20" t="inlineStr">
        <is>
          <t>上证50华夏</t>
        </is>
      </c>
      <c r="D17" s="21" t="n">
        <v>46225</v>
      </c>
      <c r="E17" s="20" t="n">
        <v>747516.6800000001</v>
      </c>
      <c r="F17" s="20">
        <f>=E17-E16</f>
        <v/>
      </c>
      <c r="G17" s="20">
        <f>=F17/E16</f>
        <v/>
      </c>
      <c r="H17" s="20" t="n">
        <v>5666466.68</v>
      </c>
      <c r="I17" s="16">
        <f>=F17/H17</f>
        <v/>
      </c>
    </row>
    <row r="18">
      <c r="A18" s="20" t="inlineStr">
        <is>
          <t>上交所</t>
        </is>
      </c>
      <c r="B18" s="20" t="inlineStr">
        <is>
          <t>510050</t>
        </is>
      </c>
      <c r="C18" s="20" t="inlineStr">
        <is>
          <t>上证50华夏</t>
        </is>
      </c>
      <c r="D18" s="21" t="n">
        <v>46226</v>
      </c>
      <c r="E18" s="20" t="n">
        <v>782976.6800000001</v>
      </c>
      <c r="F18" s="20">
        <f>=E18-E17</f>
        <v/>
      </c>
      <c r="G18" s="20">
        <f>=F18/E17</f>
        <v/>
      </c>
      <c r="H18" s="20" t="n">
        <v>5666466.68</v>
      </c>
      <c r="I18" s="16">
        <f>=F18/H18</f>
        <v/>
      </c>
    </row>
    <row r="19">
      <c r="A19" s="20" t="inlineStr">
        <is>
          <t>上交所</t>
        </is>
      </c>
      <c r="B19" s="20" t="inlineStr">
        <is>
          <t>510050</t>
        </is>
      </c>
      <c r="C19" s="20" t="inlineStr">
        <is>
          <t>上证50华夏</t>
        </is>
      </c>
      <c r="D19" s="21" t="n">
        <v>46227</v>
      </c>
      <c r="E19" s="20" t="n">
        <v>744006.6800000001</v>
      </c>
      <c r="F19" s="20">
        <f>=E19-E18</f>
        <v/>
      </c>
      <c r="G19" s="20">
        <f>=F19/E18</f>
        <v/>
      </c>
      <c r="H19" s="20" t="n">
        <v>5666466.68</v>
      </c>
      <c r="I19" s="16">
        <f>=F19/H19</f>
        <v/>
      </c>
    </row>
    <row r="20">
      <c r="A20" s="20" t="inlineStr">
        <is>
          <t>上交所</t>
        </is>
      </c>
      <c r="B20" s="20" t="inlineStr">
        <is>
          <t>510050</t>
        </is>
      </c>
      <c r="C20" s="20" t="inlineStr">
        <is>
          <t>上证50华夏</t>
        </is>
      </c>
      <c r="D20" s="21" t="n">
        <v>46230</v>
      </c>
      <c r="E20" s="20" t="n">
        <v>761916.6800000001</v>
      </c>
      <c r="F20" s="20">
        <f>=E20-E19</f>
        <v/>
      </c>
      <c r="G20" s="20">
        <f>=F20/E19</f>
        <v/>
      </c>
      <c r="H20" s="20" t="n">
        <v>5666466.68</v>
      </c>
      <c r="I20" s="16">
        <f>=F20/H20</f>
        <v/>
      </c>
    </row>
    <row r="21">
      <c r="A21" s="20" t="inlineStr">
        <is>
          <t>上交所</t>
        </is>
      </c>
      <c r="B21" s="20" t="inlineStr">
        <is>
          <t>510050</t>
        </is>
      </c>
      <c r="C21" s="20" t="inlineStr">
        <is>
          <t>上证50华夏</t>
        </is>
      </c>
      <c r="D21" s="21" t="n">
        <v>46231</v>
      </c>
      <c r="E21" s="20" t="n">
        <v>753096.6800000001</v>
      </c>
      <c r="F21" s="20">
        <f>=E21-E20</f>
        <v/>
      </c>
      <c r="G21" s="20">
        <f>=F21/E20</f>
        <v/>
      </c>
      <c r="H21" s="20" t="n">
        <v>5666466.68</v>
      </c>
      <c r="I21" s="16">
        <f>=F21/H21</f>
        <v/>
      </c>
    </row>
    <row r="22">
      <c r="A22" s="20" t="inlineStr">
        <is>
          <t>上交所</t>
        </is>
      </c>
      <c r="B22" s="20" t="inlineStr">
        <is>
          <t>510050</t>
        </is>
      </c>
      <c r="C22" s="20" t="inlineStr">
        <is>
          <t>上证50华夏</t>
        </is>
      </c>
      <c r="D22" s="21" t="n">
        <v>46232</v>
      </c>
      <c r="E22" s="20" t="n">
        <v>734016.6800000001</v>
      </c>
      <c r="F22" s="20">
        <f>=E22-E21</f>
        <v/>
      </c>
      <c r="G22" s="20">
        <f>=F22/E21</f>
        <v/>
      </c>
      <c r="H22" s="20" t="n">
        <v>5666466.68</v>
      </c>
      <c r="I22" s="16">
        <f>=F22/H22</f>
        <v/>
      </c>
    </row>
    <row r="23">
      <c r="A23" s="20" t="inlineStr">
        <is>
          <t>上交所</t>
        </is>
      </c>
      <c r="B23" s="20" t="inlineStr">
        <is>
          <t>510050</t>
        </is>
      </c>
      <c r="C23" s="20" t="inlineStr">
        <is>
          <t>上证50华夏</t>
        </is>
      </c>
      <c r="D23" s="21" t="n">
        <v>46233</v>
      </c>
      <c r="E23" s="20" t="n">
        <v>714486.6800000001</v>
      </c>
      <c r="F23" s="20">
        <f>=E23-E22</f>
        <v/>
      </c>
      <c r="G23" s="20">
        <f>=F23/E22</f>
        <v/>
      </c>
      <c r="H23" s="20" t="n">
        <v>5666466.68</v>
      </c>
      <c r="I23" s="16">
        <f>=F23/H23</f>
        <v/>
      </c>
    </row>
    <row r="24">
      <c r="A24" s="20" t="inlineStr">
        <is>
          <t>上交所</t>
        </is>
      </c>
      <c r="B24" s="20" t="inlineStr">
        <is>
          <t>510050</t>
        </is>
      </c>
      <c r="C24" s="20" t="inlineStr">
        <is>
          <t>上证50华夏</t>
        </is>
      </c>
      <c r="D24" s="21" t="n">
        <v>46234</v>
      </c>
      <c r="E24" s="20" t="n">
        <v>721416.6800000001</v>
      </c>
      <c r="F24" s="20">
        <f>=E24-E23</f>
        <v/>
      </c>
      <c r="G24" s="20">
        <f>=F24/E23</f>
        <v/>
      </c>
      <c r="H24" s="20" t="n">
        <v>5666466.68</v>
      </c>
      <c r="I24" s="16">
        <f>=F24/H24</f>
        <v/>
      </c>
    </row>
    <row r="25">
      <c r="A25" s="20" t="inlineStr">
        <is>
          <t>上交所</t>
        </is>
      </c>
      <c r="B25" s="20" t="inlineStr">
        <is>
          <t>510050</t>
        </is>
      </c>
      <c r="C25" s="20" t="inlineStr">
        <is>
          <t>上证50华夏</t>
        </is>
      </c>
      <c r="D25" s="21" t="n">
        <v>46237</v>
      </c>
      <c r="E25" s="20" t="n">
        <v>767766.6800000001</v>
      </c>
      <c r="F25" s="20">
        <f>=E25-E24</f>
        <v/>
      </c>
      <c r="G25" s="20">
        <f>=F25/E24</f>
        <v/>
      </c>
      <c r="H25" s="20" t="n">
        <v>5666466.68</v>
      </c>
      <c r="I25" s="16">
        <f>=F25/H25</f>
        <v/>
      </c>
    </row>
    <row r="26">
      <c r="A26" s="3" t="inlineStr">
        <is>
          <t>上交所</t>
        </is>
      </c>
      <c r="B26" s="3" t="inlineStr">
        <is>
          <t>510050</t>
        </is>
      </c>
      <c r="C26" s="3" t="inlineStr">
        <is>
          <t>上证50华夏</t>
        </is>
      </c>
      <c r="D26" s="23" t="n">
        <v>46238</v>
      </c>
      <c r="E26" s="3" t="n">
        <v>763536.6800000001</v>
      </c>
      <c r="F26" s="3">
        <f>E26-E25</f>
        <v/>
      </c>
      <c r="G26" s="3">
        <f>F26/E25</f>
        <v/>
      </c>
      <c r="H26" s="3" t="n">
        <v>5666466.68</v>
      </c>
      <c r="I26" s="3">
        <f>F26/H26</f>
        <v/>
      </c>
    </row>
    <row r="27">
      <c r="A27" s="3" t="inlineStr">
        <is>
          <t>上交所</t>
        </is>
      </c>
      <c r="B27" s="3" t="inlineStr">
        <is>
          <t>510050</t>
        </is>
      </c>
      <c r="C27" s="3" t="inlineStr">
        <is>
          <t>上证50华夏</t>
        </is>
      </c>
      <c r="D27" s="23" t="n">
        <v>46239</v>
      </c>
      <c r="E27" s="3" t="n">
        <v>714756.6800000001</v>
      </c>
      <c r="F27" s="3">
        <f>E27-E26</f>
        <v/>
      </c>
      <c r="G27" s="3">
        <f>F27/E26</f>
        <v/>
      </c>
      <c r="H27" s="3" t="n">
        <v>5666466.68</v>
      </c>
      <c r="I27" s="3">
        <f>F27/H27</f>
        <v/>
      </c>
    </row>
    <row r="28">
      <c r="A28" s="3" t="inlineStr">
        <is>
          <t>上交所</t>
        </is>
      </c>
      <c r="B28" s="3" t="inlineStr">
        <is>
          <t>510050</t>
        </is>
      </c>
      <c r="C28" s="3" t="inlineStr">
        <is>
          <t>上证50华夏</t>
        </is>
      </c>
      <c r="D28" s="23" t="n">
        <v>46240</v>
      </c>
      <c r="E28" s="3" t="n">
        <v>710796.6800000001</v>
      </c>
      <c r="F28" s="3">
        <f>E28-E27</f>
        <v/>
      </c>
      <c r="G28" s="3">
        <f>F28/E27</f>
        <v/>
      </c>
      <c r="H28" s="3" t="n">
        <v>5666466.68</v>
      </c>
      <c r="I28" s="3">
        <f>F28/H28</f>
        <v/>
      </c>
    </row>
    <row r="29">
      <c r="A29" s="3" t="inlineStr">
        <is>
          <t>上交所</t>
        </is>
      </c>
      <c r="B29" s="3" t="inlineStr">
        <is>
          <t>510050</t>
        </is>
      </c>
      <c r="C29" s="3" t="inlineStr">
        <is>
          <t>上证50华夏</t>
        </is>
      </c>
      <c r="D29" s="23" t="n">
        <v>46241</v>
      </c>
      <c r="E29" s="3" t="n">
        <v>689466.6800000001</v>
      </c>
      <c r="F29" s="3">
        <f>E29-E28</f>
        <v/>
      </c>
      <c r="G29" s="3">
        <f>F29/E28</f>
        <v/>
      </c>
      <c r="H29" s="3" t="n">
        <v>5666466.68</v>
      </c>
      <c r="I29" s="3">
        <f>F29/H29</f>
        <v/>
      </c>
    </row>
    <row r="30">
      <c r="A30" s="3" t="inlineStr">
        <is>
          <t>上交所</t>
        </is>
      </c>
      <c r="B30" s="3" t="inlineStr">
        <is>
          <t>510050</t>
        </is>
      </c>
      <c r="C30" s="3" t="inlineStr">
        <is>
          <t>上证50华夏</t>
        </is>
      </c>
      <c r="D30" s="23" t="n">
        <v>46244</v>
      </c>
      <c r="E30" s="3" t="n">
        <v>677856.6800000001</v>
      </c>
      <c r="F30" s="3">
        <f>E30-E29</f>
        <v/>
      </c>
      <c r="G30" s="3">
        <f>F30/E29</f>
        <v/>
      </c>
      <c r="H30" s="3" t="n">
        <v>5666466.68</v>
      </c>
      <c r="I30" s="3">
        <f>F30/H30</f>
        <v/>
      </c>
    </row>
    <row r="31">
      <c r="A31" s="3" t="inlineStr">
        <is>
          <t>上交所</t>
        </is>
      </c>
      <c r="B31" s="3" t="inlineStr">
        <is>
          <t>510050</t>
        </is>
      </c>
      <c r="C31" s="3" t="inlineStr">
        <is>
          <t>上证50华夏</t>
        </is>
      </c>
      <c r="D31" s="23" t="n">
        <v>46245</v>
      </c>
      <c r="E31" s="3" t="n">
        <v>714666.6800000001</v>
      </c>
      <c r="F31" s="3">
        <f>E31-E30</f>
        <v/>
      </c>
      <c r="G31" s="3">
        <f>F31/E30</f>
        <v/>
      </c>
      <c r="H31" s="3" t="n">
        <v>5666466.68</v>
      </c>
      <c r="I31" s="3">
        <f>F31/H31</f>
        <v/>
      </c>
    </row>
    <row r="32">
      <c r="A32" s="3" t="inlineStr">
        <is>
          <t>上交所</t>
        </is>
      </c>
      <c r="B32" s="3" t="inlineStr">
        <is>
          <t>510050</t>
        </is>
      </c>
      <c r="C32" s="3" t="inlineStr">
        <is>
          <t>上证50华夏</t>
        </is>
      </c>
      <c r="D32" s="23" t="n">
        <v>46246</v>
      </c>
      <c r="E32" s="3" t="n">
        <v>700446.6800000001</v>
      </c>
      <c r="F32" s="3">
        <f>E32-E31</f>
        <v/>
      </c>
      <c r="G32" s="3">
        <f>F32/E31</f>
        <v/>
      </c>
      <c r="H32" s="3" t="n">
        <v>5666466.68</v>
      </c>
      <c r="I32" s="3">
        <f>F32/H32</f>
        <v/>
      </c>
    </row>
    <row r="33">
      <c r="A33" s="3" t="inlineStr">
        <is>
          <t>上交所</t>
        </is>
      </c>
      <c r="B33" s="3" t="inlineStr">
        <is>
          <t>510050</t>
        </is>
      </c>
      <c r="C33" s="3" t="inlineStr">
        <is>
          <t>上证50华夏</t>
        </is>
      </c>
      <c r="D33" s="23" t="n">
        <v>46251</v>
      </c>
      <c r="E33" s="3" t="n">
        <v>691986.6800000001</v>
      </c>
      <c r="F33" s="3">
        <f>E33-E32</f>
        <v/>
      </c>
      <c r="G33" s="3">
        <f>F33/E32</f>
        <v/>
      </c>
      <c r="H33" s="3" t="n">
        <v>5666466.68</v>
      </c>
      <c r="I33" s="3">
        <f>F33/H33</f>
        <v/>
      </c>
    </row>
    <row r="34">
      <c r="A34" s="3" t="inlineStr">
        <is>
          <t>上交所</t>
        </is>
      </c>
      <c r="B34" s="3" t="inlineStr">
        <is>
          <t>510050</t>
        </is>
      </c>
      <c r="C34" s="3" t="inlineStr">
        <is>
          <t>上证50华夏</t>
        </is>
      </c>
      <c r="D34" s="23" t="n">
        <v>46253</v>
      </c>
      <c r="E34" s="3" t="n">
        <v>694056.6800000001</v>
      </c>
      <c r="F34" s="3">
        <f>E34-E33</f>
        <v/>
      </c>
      <c r="G34" s="3">
        <f>F34/E33</f>
        <v/>
      </c>
      <c r="H34" s="3" t="n">
        <v>5666466.68</v>
      </c>
      <c r="I34" s="3">
        <f>F34/H34</f>
        <v/>
      </c>
    </row>
    <row r="35">
      <c r="A35" s="3" t="inlineStr">
        <is>
          <t>上交所</t>
        </is>
      </c>
      <c r="B35" s="3" t="inlineStr">
        <is>
          <t>510050</t>
        </is>
      </c>
      <c r="C35" s="3" t="inlineStr">
        <is>
          <t>上证50华夏</t>
        </is>
      </c>
      <c r="D35" s="23" t="n">
        <v>46254</v>
      </c>
      <c r="E35" s="3" t="n">
        <v>729246.6800000001</v>
      </c>
      <c r="F35" s="3">
        <f>E35-E34</f>
        <v/>
      </c>
      <c r="G35" s="3">
        <f>F35/E34</f>
        <v/>
      </c>
      <c r="H35" s="3" t="n">
        <v>5666466.68</v>
      </c>
      <c r="I35" s="3">
        <f>F35/H35</f>
        <v/>
      </c>
    </row>
    <row r="36">
      <c r="A36" s="3" t="inlineStr">
        <is>
          <t>上交所</t>
        </is>
      </c>
      <c r="B36" s="3" t="inlineStr">
        <is>
          <t>510050</t>
        </is>
      </c>
      <c r="C36" s="3" t="inlineStr">
        <is>
          <t>上证50华夏</t>
        </is>
      </c>
      <c r="D36" s="23" t="n">
        <v>46258</v>
      </c>
      <c r="E36" s="3" t="n">
        <v>752106.6800000001</v>
      </c>
      <c r="F36" s="3">
        <f>E36-E35</f>
        <v/>
      </c>
      <c r="G36" s="3">
        <f>F36/E35</f>
        <v/>
      </c>
      <c r="H36" s="3" t="n">
        <v>5666466.68</v>
      </c>
      <c r="I36" s="3">
        <f>F36/H36</f>
        <v/>
      </c>
    </row>
    <row r="37">
      <c r="A37" s="3" t="inlineStr">
        <is>
          <t>上交所</t>
        </is>
      </c>
      <c r="B37" s="3" t="inlineStr">
        <is>
          <t>510050</t>
        </is>
      </c>
      <c r="C37" s="3" t="inlineStr">
        <is>
          <t>上证50华夏</t>
        </is>
      </c>
      <c r="D37" s="23" t="n">
        <v>46259</v>
      </c>
      <c r="E37" s="3" t="n">
        <v>763356.6800000001</v>
      </c>
      <c r="F37" s="3">
        <f>E37-E36</f>
        <v/>
      </c>
      <c r="G37" s="3">
        <f>F37/E36</f>
        <v/>
      </c>
      <c r="H37" s="3" t="n">
        <v>5666466.68</v>
      </c>
      <c r="I37" s="3">
        <f>F37/H37</f>
        <v/>
      </c>
    </row>
    <row r="38">
      <c r="A38" s="3" t="inlineStr">
        <is>
          <t>上交所</t>
        </is>
      </c>
      <c r="B38" s="3" t="inlineStr">
        <is>
          <t>510050</t>
        </is>
      </c>
      <c r="C38" s="3" t="inlineStr">
        <is>
          <t>上证50华夏</t>
        </is>
      </c>
      <c r="D38" s="23" t="n">
        <v>46260</v>
      </c>
      <c r="E38" s="3" t="n">
        <v>724656.6800000001</v>
      </c>
      <c r="F38" s="3">
        <f>E38-E37</f>
        <v/>
      </c>
      <c r="G38" s="3">
        <f>F38/E37</f>
        <v/>
      </c>
      <c r="H38" s="3" t="n">
        <v>5666466.68</v>
      </c>
      <c r="I38" s="3">
        <f>F38/H38</f>
        <v/>
      </c>
    </row>
    <row r="39">
      <c r="A39" s="3" t="inlineStr">
        <is>
          <t>上交所</t>
        </is>
      </c>
      <c r="B39" s="3" t="inlineStr">
        <is>
          <t>510050</t>
        </is>
      </c>
      <c r="C39" s="3" t="inlineStr">
        <is>
          <t>上证50华夏</t>
        </is>
      </c>
      <c r="D39" s="23" t="n">
        <v>46262</v>
      </c>
      <c r="E39" s="3" t="n">
        <v>682626.6800000001</v>
      </c>
      <c r="F39" s="3">
        <f>E39-E38</f>
        <v/>
      </c>
      <c r="G39" s="3">
        <f>F39/E38</f>
        <v/>
      </c>
      <c r="H39" s="3" t="n">
        <v>5666466.68</v>
      </c>
      <c r="I39" s="3">
        <f>F39/H39</f>
        <v/>
      </c>
    </row>
    <row r="40">
      <c r="A40" s="3" t="inlineStr">
        <is>
          <t>上交所</t>
        </is>
      </c>
      <c r="B40" s="3" t="inlineStr">
        <is>
          <t>510050</t>
        </is>
      </c>
      <c r="C40" s="3" t="inlineStr">
        <is>
          <t>上证50华夏</t>
        </is>
      </c>
      <c r="D40" s="23" t="n">
        <v>46265</v>
      </c>
      <c r="E40" s="3" t="n">
        <v>679386.6800000001</v>
      </c>
      <c r="F40" s="3">
        <f>E40-E39</f>
        <v/>
      </c>
      <c r="G40" s="3">
        <f>F40/E39</f>
        <v/>
      </c>
      <c r="H40" s="3" t="n">
        <v>5666466.68</v>
      </c>
      <c r="I40" s="3">
        <f>F40/H40</f>
        <v/>
      </c>
    </row>
    <row r="41">
      <c r="A41" s="3" t="inlineStr">
        <is>
          <t>上交所</t>
        </is>
      </c>
      <c r="B41" s="3" t="inlineStr">
        <is>
          <t>510050</t>
        </is>
      </c>
      <c r="C41" s="3" t="inlineStr">
        <is>
          <t>上证50华夏</t>
        </is>
      </c>
      <c r="D41" s="23" t="n">
        <v>46266</v>
      </c>
      <c r="E41" s="3" t="n">
        <v>653376.6800000001</v>
      </c>
      <c r="F41" s="3">
        <f>E41-E40</f>
        <v/>
      </c>
      <c r="G41" s="3">
        <f>F41/E40</f>
        <v/>
      </c>
      <c r="H41" s="3" t="n">
        <v>5666466.68</v>
      </c>
      <c r="I41" s="3">
        <f>F41/H41</f>
        <v/>
      </c>
    </row>
    <row r="42">
      <c r="A42" s="3" t="inlineStr">
        <is>
          <t>上交所</t>
        </is>
      </c>
      <c r="B42" s="3" t="inlineStr">
        <is>
          <t>510050</t>
        </is>
      </c>
      <c r="C42" s="3" t="inlineStr">
        <is>
          <t>上证50华夏</t>
        </is>
      </c>
      <c r="D42" s="23" t="n">
        <v>46267</v>
      </c>
      <c r="E42" s="3" t="n">
        <v>647256.6800000001</v>
      </c>
      <c r="F42" s="3">
        <f>E42-E41</f>
        <v/>
      </c>
      <c r="G42" s="3">
        <f>F42/E41</f>
        <v/>
      </c>
      <c r="H42" s="3" t="n">
        <v>5666466.68</v>
      </c>
      <c r="I42" s="3">
        <f>F42/H42</f>
        <v/>
      </c>
    </row>
    <row r="43">
      <c r="A43" s="3" t="inlineStr">
        <is>
          <t>上交所</t>
        </is>
      </c>
      <c r="B43" s="3" t="inlineStr">
        <is>
          <t>510050</t>
        </is>
      </c>
      <c r="C43" s="3" t="inlineStr">
        <is>
          <t>上证50华夏</t>
        </is>
      </c>
      <c r="D43" s="23" t="n">
        <v>46268</v>
      </c>
      <c r="E43" s="3" t="n">
        <v>656076.6800000001</v>
      </c>
      <c r="F43" s="3">
        <f>E43-E42</f>
        <v/>
      </c>
      <c r="G43" s="3">
        <f>F43/E42</f>
        <v/>
      </c>
      <c r="H43" s="3" t="n">
        <v>5666466.68</v>
      </c>
      <c r="I43" s="3">
        <f>F43/H43</f>
        <v/>
      </c>
    </row>
    <row r="44">
      <c r="A44" s="3" t="inlineStr">
        <is>
          <t>上交所</t>
        </is>
      </c>
      <c r="B44" s="3" t="inlineStr">
        <is>
          <t>510050</t>
        </is>
      </c>
      <c r="C44" s="3" t="inlineStr">
        <is>
          <t>上证50华夏</t>
        </is>
      </c>
      <c r="D44" s="23" t="n">
        <v>46269</v>
      </c>
      <c r="E44" s="3" t="n">
        <v>681096.6800000001</v>
      </c>
      <c r="F44" s="3">
        <f>E44-E43</f>
        <v/>
      </c>
      <c r="G44" s="3">
        <f>F44/E43</f>
        <v/>
      </c>
      <c r="H44" s="3" t="n">
        <v>5666466.68</v>
      </c>
      <c r="I44" s="3">
        <f>F44/H44</f>
        <v/>
      </c>
    </row>
    <row r="45">
      <c r="A45" s="3" t="inlineStr">
        <is>
          <t>上交所</t>
        </is>
      </c>
      <c r="B45" s="3" t="inlineStr">
        <is>
          <t>510050</t>
        </is>
      </c>
      <c r="C45" s="3" t="inlineStr">
        <is>
          <t>上证50华夏</t>
        </is>
      </c>
      <c r="D45" s="23" t="n">
        <v>46272</v>
      </c>
      <c r="E45" s="3" t="n">
        <v>701886.6800000001</v>
      </c>
      <c r="F45" s="3">
        <f>E45-E44</f>
        <v/>
      </c>
      <c r="G45" s="3">
        <f>F45/E44</f>
        <v/>
      </c>
      <c r="H45" s="3" t="n">
        <v>5666466.68</v>
      </c>
      <c r="I45" s="3">
        <f>F45/H45</f>
        <v/>
      </c>
    </row>
    <row r="46">
      <c r="A46" s="3" t="inlineStr">
        <is>
          <t>上交所</t>
        </is>
      </c>
      <c r="B46" s="3" t="inlineStr">
        <is>
          <t>510050</t>
        </is>
      </c>
      <c r="C46" s="3" t="inlineStr">
        <is>
          <t>上证50华夏</t>
        </is>
      </c>
      <c r="D46" s="23" t="n">
        <v>46273</v>
      </c>
      <c r="E46" s="3" t="n">
        <v>684786.6800000001</v>
      </c>
      <c r="F46" s="3">
        <f>E46-E45</f>
        <v/>
      </c>
      <c r="G46" s="3">
        <f>F46/E45</f>
        <v/>
      </c>
      <c r="H46" s="3" t="n">
        <v>5666466.68</v>
      </c>
      <c r="I46" s="3">
        <f>F46/H46</f>
        <v/>
      </c>
    </row>
    <row r="47">
      <c r="A47" s="3" t="inlineStr">
        <is>
          <t>上交所</t>
        </is>
      </c>
      <c r="B47" s="3" t="inlineStr">
        <is>
          <t>510050</t>
        </is>
      </c>
      <c r="C47" s="3" t="inlineStr">
        <is>
          <t>上证50华夏</t>
        </is>
      </c>
      <c r="D47" s="23" t="n">
        <v>46274</v>
      </c>
      <c r="E47" s="3" t="n">
        <v>684696.6800000001</v>
      </c>
      <c r="F47" s="3">
        <f>E47-E46</f>
        <v/>
      </c>
      <c r="G47" s="3">
        <f>F47/E46</f>
        <v/>
      </c>
      <c r="H47" s="3" t="n">
        <v>5666466.68</v>
      </c>
      <c r="I47" s="3">
        <f>F47/H47</f>
        <v/>
      </c>
    </row>
    <row r="48">
      <c r="A48" s="3" t="inlineStr">
        <is>
          <t>上交所</t>
        </is>
      </c>
      <c r="B48" s="3" t="inlineStr">
        <is>
          <t>510050</t>
        </is>
      </c>
      <c r="C48" s="3" t="inlineStr">
        <is>
          <t>上证50华夏</t>
        </is>
      </c>
      <c r="D48" s="23" t="n">
        <v>46275</v>
      </c>
      <c r="E48" s="3" t="n">
        <v>671826.6800000001</v>
      </c>
      <c r="F48" s="3">
        <f>E48-E47</f>
        <v/>
      </c>
      <c r="G48" s="3">
        <f>F48/E47</f>
        <v/>
      </c>
      <c r="H48" s="3" t="n">
        <v>5666466.68</v>
      </c>
      <c r="I48" s="3">
        <f>F48/H48</f>
        <v/>
      </c>
    </row>
    <row r="49">
      <c r="A49" s="3" t="inlineStr">
        <is>
          <t>上交所</t>
        </is>
      </c>
      <c r="B49" s="3" t="inlineStr">
        <is>
          <t>510050</t>
        </is>
      </c>
      <c r="C49" s="3" t="inlineStr">
        <is>
          <t>上证50华夏</t>
        </is>
      </c>
      <c r="D49" s="23" t="n">
        <v>46276</v>
      </c>
      <c r="E49" s="3" t="n">
        <v>703146.6800000001</v>
      </c>
      <c r="F49" s="3">
        <f>E49-E48</f>
        <v/>
      </c>
      <c r="G49" s="3">
        <f>F49/E48</f>
        <v/>
      </c>
      <c r="H49" s="3" t="n">
        <v>5666466.68</v>
      </c>
      <c r="I49" s="3">
        <f>F49/H49</f>
        <v/>
      </c>
    </row>
    <row r="50">
      <c r="A50" s="3" t="inlineStr">
        <is>
          <t>上交所</t>
        </is>
      </c>
      <c r="B50" s="3" t="inlineStr">
        <is>
          <t>510050</t>
        </is>
      </c>
      <c r="C50" s="3" t="inlineStr">
        <is>
          <t>上证50华夏</t>
        </is>
      </c>
      <c r="D50" s="23" t="n">
        <v>46279</v>
      </c>
      <c r="E50" s="3" t="n">
        <v>704676.6800000001</v>
      </c>
      <c r="F50" s="3">
        <f>E50-E49</f>
        <v/>
      </c>
      <c r="G50" s="3">
        <f>F50/E49</f>
        <v/>
      </c>
      <c r="H50" s="3" t="n">
        <v>5666466.68</v>
      </c>
      <c r="I50" s="3">
        <f>F50/H50</f>
        <v/>
      </c>
    </row>
    <row r="51">
      <c r="A51" s="3" t="inlineStr">
        <is>
          <t>上交所</t>
        </is>
      </c>
      <c r="B51" s="3" t="inlineStr">
        <is>
          <t>510050</t>
        </is>
      </c>
      <c r="C51" s="3" t="inlineStr">
        <is>
          <t>上证50华夏</t>
        </is>
      </c>
      <c r="D51" s="23" t="n">
        <v>46280</v>
      </c>
      <c r="E51" s="3" t="n">
        <v>718986.6800000001</v>
      </c>
      <c r="F51" s="3">
        <f>E51-E50</f>
        <v/>
      </c>
      <c r="G51" s="3">
        <f>F51/E50</f>
        <v/>
      </c>
      <c r="H51" s="3" t="n">
        <v>5666466.68</v>
      </c>
      <c r="I51" s="3">
        <f>F51/H51</f>
        <v/>
      </c>
    </row>
    <row r="52">
      <c r="A52" s="3" t="inlineStr">
        <is>
          <t>上交所</t>
        </is>
      </c>
      <c r="B52" s="3" t="inlineStr">
        <is>
          <t>510050</t>
        </is>
      </c>
      <c r="C52" s="3" t="inlineStr">
        <is>
          <t>上证50华夏</t>
        </is>
      </c>
      <c r="D52" s="23" t="n">
        <v>46282</v>
      </c>
      <c r="E52" s="3" t="n">
        <v>779016.6800000001</v>
      </c>
      <c r="F52" s="3">
        <f>E52-E51</f>
        <v/>
      </c>
      <c r="G52" s="3">
        <f>F52/E51</f>
        <v/>
      </c>
      <c r="H52" s="3" t="n">
        <v>5666466.68</v>
      </c>
      <c r="I52" s="3">
        <f>F52/H52</f>
        <v/>
      </c>
    </row>
    <row r="53">
      <c r="A53" s="3" t="inlineStr">
        <is>
          <t>上交所</t>
        </is>
      </c>
      <c r="B53" s="3" t="inlineStr">
        <is>
          <t>510050</t>
        </is>
      </c>
      <c r="C53" s="3" t="inlineStr">
        <is>
          <t>上证50华夏</t>
        </is>
      </c>
      <c r="D53" s="23" t="n">
        <v>46283</v>
      </c>
      <c r="E53" s="3" t="n">
        <v>796026.6800000001</v>
      </c>
      <c r="F53" s="3">
        <f>E53-E52</f>
        <v/>
      </c>
      <c r="G53" s="3">
        <f>F53/E52</f>
        <v/>
      </c>
      <c r="H53" s="3" t="n">
        <v>5666466.68</v>
      </c>
      <c r="I53" s="3">
        <f>F53/H53</f>
        <v/>
      </c>
    </row>
    <row r="54">
      <c r="A54" s="3" t="inlineStr">
        <is>
          <t>上交所</t>
        </is>
      </c>
      <c r="B54" s="3" t="inlineStr">
        <is>
          <t>510050</t>
        </is>
      </c>
      <c r="C54" s="3" t="inlineStr">
        <is>
          <t>上证50华夏</t>
        </is>
      </c>
      <c r="D54" s="23" t="n">
        <v>46286</v>
      </c>
      <c r="E54" s="3" t="n">
        <v>768936.6800000001</v>
      </c>
      <c r="F54" s="3">
        <f>E54-E53</f>
        <v/>
      </c>
      <c r="G54" s="3">
        <f>F54/E53</f>
        <v/>
      </c>
      <c r="H54" s="3" t="n">
        <v>5666466.68</v>
      </c>
      <c r="I54" s="3">
        <f>F54/H54</f>
        <v/>
      </c>
    </row>
    <row r="55">
      <c r="A55" s="3" t="inlineStr">
        <is>
          <t>上交所</t>
        </is>
      </c>
      <c r="B55" s="3" t="inlineStr">
        <is>
          <t>510050</t>
        </is>
      </c>
      <c r="C55" s="3" t="inlineStr">
        <is>
          <t>上证50华夏</t>
        </is>
      </c>
      <c r="D55" s="23" t="n">
        <v>46287</v>
      </c>
      <c r="E55" s="3" t="n">
        <v>747606.6800000001</v>
      </c>
      <c r="F55" s="3">
        <f>E55-E54</f>
        <v/>
      </c>
      <c r="G55" s="3">
        <f>F55/E54</f>
        <v/>
      </c>
      <c r="H55" s="3" t="n">
        <v>5666466.68</v>
      </c>
      <c r="I55" s="3">
        <f>F55/H55</f>
        <v/>
      </c>
    </row>
    <row r="56">
      <c r="A56" s="3" t="inlineStr">
        <is>
          <t>上交所</t>
        </is>
      </c>
      <c r="B56" s="3" t="inlineStr">
        <is>
          <t>510050</t>
        </is>
      </c>
      <c r="C56" s="3" t="inlineStr">
        <is>
          <t>上证50华夏</t>
        </is>
      </c>
      <c r="D56" s="23" t="n">
        <v>46288</v>
      </c>
      <c r="E56" s="3" t="n">
        <v>737976.6800000001</v>
      </c>
      <c r="F56" s="3">
        <f>E56-E55</f>
        <v/>
      </c>
      <c r="G56" s="3">
        <f>F56/E55</f>
        <v/>
      </c>
      <c r="H56" s="3" t="n">
        <v>5666466.68</v>
      </c>
      <c r="I56" s="3">
        <f>F56/H56</f>
        <v/>
      </c>
    </row>
    <row r="57">
      <c r="A57" s="3" t="inlineStr">
        <is>
          <t>上交所</t>
        </is>
      </c>
      <c r="B57" s="3" t="inlineStr">
        <is>
          <t>510050</t>
        </is>
      </c>
      <c r="C57" s="3" t="inlineStr">
        <is>
          <t>上证50华夏</t>
        </is>
      </c>
      <c r="D57" s="23" t="n">
        <v>46289</v>
      </c>
      <c r="E57" s="3" t="n">
        <v>716736.6800000001</v>
      </c>
      <c r="F57" s="3">
        <f>E57-E56</f>
        <v/>
      </c>
      <c r="G57" s="3">
        <f>F57/E56</f>
        <v/>
      </c>
      <c r="H57" s="3" t="n">
        <v>5666466.68</v>
      </c>
      <c r="I57" s="3">
        <f>F57/H57</f>
        <v/>
      </c>
    </row>
    <row r="58">
      <c r="A58" s="3" t="inlineStr">
        <is>
          <t>上交所</t>
        </is>
      </c>
      <c r="B58" s="3" t="inlineStr">
        <is>
          <t>510050</t>
        </is>
      </c>
      <c r="C58" s="3" t="inlineStr">
        <is>
          <t>上证50华夏</t>
        </is>
      </c>
      <c r="D58" s="23" t="n">
        <v>46293</v>
      </c>
      <c r="E58" s="3" t="n">
        <v>736356.6800000001</v>
      </c>
      <c r="F58" s="3">
        <f>E58-E57</f>
        <v/>
      </c>
      <c r="G58" s="3">
        <f>F58/E57</f>
        <v/>
      </c>
      <c r="H58" s="3" t="n">
        <v>5666466.68</v>
      </c>
      <c r="I58" s="3">
        <f>F58/H58</f>
        <v/>
      </c>
    </row>
    <row r="59">
      <c r="A59" s="3" t="inlineStr">
        <is>
          <t>上交所</t>
        </is>
      </c>
      <c r="B59" s="3" t="inlineStr">
        <is>
          <t>510050</t>
        </is>
      </c>
      <c r="C59" s="3" t="inlineStr">
        <is>
          <t>上证50华夏</t>
        </is>
      </c>
      <c r="D59" s="23" t="n">
        <v>46294</v>
      </c>
      <c r="E59" s="3" t="n">
        <v>724836.6800000001</v>
      </c>
      <c r="F59" s="3">
        <f>E59-E58</f>
        <v/>
      </c>
      <c r="G59" s="3">
        <f>F59/E58</f>
        <v/>
      </c>
      <c r="H59" s="3" t="n">
        <v>5666466.68</v>
      </c>
      <c r="I59" s="3">
        <f>F59/H59</f>
        <v/>
      </c>
    </row>
    <row r="60">
      <c r="A60" s="3" t="inlineStr">
        <is>
          <t>上交所</t>
        </is>
      </c>
      <c r="B60" s="3" t="inlineStr">
        <is>
          <t>510050</t>
        </is>
      </c>
      <c r="C60" s="3" t="inlineStr">
        <is>
          <t>上证50华夏</t>
        </is>
      </c>
      <c r="D60" s="23" t="n">
        <v>46295</v>
      </c>
      <c r="E60" s="3" t="n">
        <v>693876.6800000001</v>
      </c>
      <c r="F60" s="3">
        <f>E60-E59</f>
        <v/>
      </c>
      <c r="G60" s="3">
        <f>F60/E59</f>
        <v/>
      </c>
      <c r="H60" s="3" t="n">
        <v>5666466.68</v>
      </c>
      <c r="I60" s="3">
        <f>F60/H60</f>
        <v/>
      </c>
    </row>
    <row r="61">
      <c r="A61" s="3" t="inlineStr">
        <is>
          <t>上交所</t>
        </is>
      </c>
      <c r="B61" s="3" t="inlineStr">
        <is>
          <t>510050</t>
        </is>
      </c>
      <c r="C61" s="3" t="inlineStr">
        <is>
          <t>上证50华夏</t>
        </is>
      </c>
      <c r="D61" s="23" t="n">
        <v>46303</v>
      </c>
      <c r="E61" s="3" t="n">
        <v>693516.6800000001</v>
      </c>
      <c r="F61" s="3">
        <f>E61-E60</f>
        <v/>
      </c>
      <c r="G61" s="3">
        <f>F61/E60</f>
        <v/>
      </c>
      <c r="H61" s="3" t="n">
        <v>5666466.68</v>
      </c>
      <c r="I61" s="3">
        <f>F61/H61</f>
        <v/>
      </c>
    </row>
    <row r="62">
      <c r="A62" s="3" t="inlineStr">
        <is>
          <t>上交所</t>
        </is>
      </c>
      <c r="B62" s="3" t="inlineStr">
        <is>
          <t>510050</t>
        </is>
      </c>
      <c r="C62" s="3" t="inlineStr">
        <is>
          <t>上证50华夏</t>
        </is>
      </c>
      <c r="D62" s="23" t="n">
        <v>46304</v>
      </c>
      <c r="E62" s="3" t="n">
        <v>712236.6800000001</v>
      </c>
      <c r="F62" s="3">
        <f>E62-E61</f>
        <v/>
      </c>
      <c r="G62" s="3">
        <f>F62/E61</f>
        <v/>
      </c>
      <c r="H62" s="3" t="n">
        <v>5666466.68</v>
      </c>
      <c r="I62" s="3">
        <f>F62/H62</f>
        <v/>
      </c>
    </row>
    <row r="63">
      <c r="A63" s="3" t="inlineStr">
        <is>
          <t>上交所</t>
        </is>
      </c>
      <c r="B63" s="3" t="inlineStr">
        <is>
          <t>510050</t>
        </is>
      </c>
      <c r="C63" s="3" t="inlineStr">
        <is>
          <t>上证50华夏</t>
        </is>
      </c>
      <c r="D63" s="23" t="n">
        <v>46307</v>
      </c>
      <c r="E63" s="3" t="n">
        <v>711966.6800000001</v>
      </c>
      <c r="F63" s="3">
        <f>E63-E62</f>
        <v/>
      </c>
      <c r="G63" s="3">
        <f>F63/E62</f>
        <v/>
      </c>
      <c r="H63" s="3" t="n">
        <v>5666466.68</v>
      </c>
      <c r="I63" s="3">
        <f>F63/H63</f>
        <v/>
      </c>
    </row>
    <row r="64">
      <c r="A64" s="3" t="inlineStr">
        <is>
          <t>上交所</t>
        </is>
      </c>
      <c r="B64" s="3" t="inlineStr">
        <is>
          <t>510050</t>
        </is>
      </c>
      <c r="C64" s="3" t="inlineStr">
        <is>
          <t>上证50华夏</t>
        </is>
      </c>
      <c r="D64" s="23" t="n">
        <v>46308</v>
      </c>
      <c r="E64" s="3" t="n">
        <v>729876.6800000001</v>
      </c>
      <c r="F64" s="3">
        <f>E64-E63</f>
        <v/>
      </c>
      <c r="G64" s="3">
        <f>F64/E63</f>
        <v/>
      </c>
      <c r="H64" s="3" t="n">
        <v>5666466.68</v>
      </c>
      <c r="I64" s="3">
        <f>F64/H64</f>
        <v/>
      </c>
    </row>
    <row r="65">
      <c r="A65" s="3" t="inlineStr">
        <is>
          <t>上交所</t>
        </is>
      </c>
      <c r="B65" s="3" t="inlineStr">
        <is>
          <t>510050</t>
        </is>
      </c>
      <c r="C65" s="3" t="inlineStr">
        <is>
          <t>上证50华夏</t>
        </is>
      </c>
      <c r="D65" s="23" t="n">
        <v>46309</v>
      </c>
      <c r="E65" s="3" t="n">
        <v>731586.6800000001</v>
      </c>
      <c r="F65" s="3">
        <f>E65-E64</f>
        <v/>
      </c>
      <c r="G65" s="3">
        <f>F65/E64</f>
        <v/>
      </c>
      <c r="H65" s="3" t="n">
        <v>5666466.68</v>
      </c>
      <c r="I65" s="3">
        <f>F65/H65</f>
        <v/>
      </c>
    </row>
    <row r="66">
      <c r="A66" s="3" t="inlineStr">
        <is>
          <t>上交所</t>
        </is>
      </c>
      <c r="B66" s="3" t="inlineStr">
        <is>
          <t>510050</t>
        </is>
      </c>
      <c r="C66" s="3" t="inlineStr">
        <is>
          <t>上证50华夏</t>
        </is>
      </c>
      <c r="D66" s="23" t="n">
        <v>46310</v>
      </c>
      <c r="E66" s="3" t="n">
        <v>760296.6800000001</v>
      </c>
      <c r="F66" s="3">
        <f>E66-E65</f>
        <v/>
      </c>
      <c r="G66" s="3">
        <f>F66/E65</f>
        <v/>
      </c>
      <c r="H66" s="3" t="n">
        <v>5666466.68</v>
      </c>
      <c r="I66" s="3">
        <f>F66/H66</f>
        <v/>
      </c>
    </row>
    <row r="67">
      <c r="A67" s="3" t="inlineStr">
        <is>
          <t>上交所</t>
        </is>
      </c>
      <c r="B67" s="3" t="inlineStr">
        <is>
          <t>510050</t>
        </is>
      </c>
      <c r="C67" s="3" t="inlineStr">
        <is>
          <t>上证50华夏</t>
        </is>
      </c>
      <c r="D67" s="23" t="n">
        <v>46311</v>
      </c>
      <c r="E67" s="3" t="n">
        <v>891606.6800000001</v>
      </c>
      <c r="F67" s="3">
        <f>E67-E66</f>
        <v/>
      </c>
      <c r="G67" s="3">
        <f>F67/E66</f>
        <v/>
      </c>
      <c r="H67" s="3" t="n">
        <v>5666466.68</v>
      </c>
      <c r="I67" s="3">
        <f>F67/H67</f>
        <v/>
      </c>
    </row>
    <row r="68">
      <c r="A68" s="3" t="inlineStr">
        <is>
          <t>上交所</t>
        </is>
      </c>
      <c r="B68" s="3" t="inlineStr">
        <is>
          <t>510050</t>
        </is>
      </c>
      <c r="C68" s="3" t="inlineStr">
        <is>
          <t>上证50华夏</t>
        </is>
      </c>
      <c r="D68" s="23" t="n">
        <v>46314</v>
      </c>
      <c r="E68" s="3" t="n">
        <v>961986.6800000001</v>
      </c>
      <c r="F68" s="3">
        <f>E68-E67</f>
        <v/>
      </c>
      <c r="G68" s="3">
        <f>F68/E67</f>
        <v/>
      </c>
      <c r="H68" s="3" t="n">
        <v>5666466.68</v>
      </c>
      <c r="I68" s="3">
        <f>F68/H68</f>
        <v/>
      </c>
    </row>
    <row r="69">
      <c r="A69" s="3" t="inlineStr">
        <is>
          <t>上交所</t>
        </is>
      </c>
      <c r="B69" s="3" t="inlineStr">
        <is>
          <t>510050</t>
        </is>
      </c>
      <c r="C69" s="3" t="inlineStr">
        <is>
          <t>上证50华夏</t>
        </is>
      </c>
      <c r="D69" s="23" t="n">
        <v>46315</v>
      </c>
      <c r="E69" s="3" t="n">
        <v>1116066.68</v>
      </c>
      <c r="F69" s="3">
        <f>E69-E68</f>
        <v/>
      </c>
      <c r="G69" s="3">
        <f>F69/E68</f>
        <v/>
      </c>
      <c r="H69" s="3" t="n">
        <v>5666466.68</v>
      </c>
      <c r="I69" s="3">
        <f>F69/H69</f>
        <v/>
      </c>
    </row>
    <row r="70">
      <c r="A70" s="3" t="inlineStr">
        <is>
          <t>上交所</t>
        </is>
      </c>
      <c r="B70" s="3" t="inlineStr">
        <is>
          <t>510050</t>
        </is>
      </c>
      <c r="C70" s="3" t="inlineStr">
        <is>
          <t>上证50华夏</t>
        </is>
      </c>
      <c r="D70" s="23" t="n">
        <v>46316</v>
      </c>
      <c r="E70" s="3" t="n">
        <v>1139016.68</v>
      </c>
      <c r="F70" s="3">
        <f>E70-E69</f>
        <v/>
      </c>
      <c r="G70" s="3">
        <f>F70/E69</f>
        <v/>
      </c>
      <c r="H70" s="3" t="n">
        <v>5666466.68</v>
      </c>
      <c r="I70" s="3">
        <f>F70/H70</f>
        <v/>
      </c>
    </row>
    <row r="71">
      <c r="A71" s="3" t="inlineStr">
        <is>
          <t>上交所</t>
        </is>
      </c>
      <c r="B71" s="3" t="inlineStr">
        <is>
          <t>510050</t>
        </is>
      </c>
      <c r="C71" s="3" t="inlineStr">
        <is>
          <t>上证50华夏</t>
        </is>
      </c>
      <c r="D71" s="23" t="n">
        <v>46318</v>
      </c>
      <c r="E71" s="3" t="n">
        <v>1299306.68</v>
      </c>
      <c r="F71" s="3">
        <f>E71-E70</f>
        <v/>
      </c>
      <c r="G71" s="3">
        <f>F71/E70</f>
        <v/>
      </c>
      <c r="H71" s="3" t="n">
        <v>5666466.68</v>
      </c>
      <c r="I71" s="3">
        <f>F71/H71</f>
        <v/>
      </c>
    </row>
    <row r="72">
      <c r="A72" s="3" t="inlineStr">
        <is>
          <t>上交所</t>
        </is>
      </c>
      <c r="B72" s="3" t="inlineStr">
        <is>
          <t>510050</t>
        </is>
      </c>
      <c r="C72" s="3" t="inlineStr">
        <is>
          <t>上证50华夏</t>
        </is>
      </c>
      <c r="D72" s="23" t="n">
        <v>46321</v>
      </c>
      <c r="E72" s="3" t="n">
        <v>1265736.68</v>
      </c>
      <c r="F72" s="3">
        <f>E72-E71</f>
        <v/>
      </c>
      <c r="G72" s="3">
        <f>F72/E71</f>
        <v/>
      </c>
      <c r="H72" s="3" t="n">
        <v>5666466.68</v>
      </c>
      <c r="I72" s="3">
        <f>F72/H72</f>
        <v/>
      </c>
    </row>
    <row r="73">
      <c r="A73" s="3" t="inlineStr">
        <is>
          <t>上交所</t>
        </is>
      </c>
      <c r="B73" s="3" t="inlineStr">
        <is>
          <t>510050</t>
        </is>
      </c>
      <c r="C73" s="3" t="inlineStr">
        <is>
          <t>上证50华夏</t>
        </is>
      </c>
      <c r="D73" s="23" t="n">
        <v>46322</v>
      </c>
      <c r="E73" s="3" t="n">
        <v>1279146.68</v>
      </c>
      <c r="F73" s="3">
        <f>E73-E72</f>
        <v/>
      </c>
      <c r="G73" s="3">
        <f>F73/E72</f>
        <v/>
      </c>
      <c r="H73" s="3" t="n">
        <v>5666466.68</v>
      </c>
      <c r="I73" s="3">
        <f>F73/H73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1" workbookViewId="0">
      <selection activeCell="A1" sqref="A1"/>
    </sheetView>
  </sheetViews>
  <sheetFormatPr baseColWidth="8" defaultRowHeight="15"/>
  <sheetData>
    <row r="1">
      <c r="A1" s="19" t="inlineStr">
        <is>
          <t>来源</t>
        </is>
      </c>
      <c r="B1" s="19" t="inlineStr">
        <is>
          <t>代码</t>
        </is>
      </c>
      <c r="C1" s="19" t="inlineStr">
        <is>
          <t>名称</t>
        </is>
      </c>
      <c r="D1" s="19" t="inlineStr">
        <is>
          <t>日期</t>
        </is>
      </c>
      <c r="E1" s="19" t="inlineStr">
        <is>
          <t>当日公示份额（万份）</t>
        </is>
      </c>
      <c r="F1" s="19" t="inlineStr">
        <is>
          <t>当日变化</t>
        </is>
      </c>
      <c r="G1" s="19" t="inlineStr">
        <is>
          <t>环比变动比例</t>
        </is>
      </c>
      <c r="H1" s="19" t="inlineStr">
        <is>
          <t>基期总份额</t>
        </is>
      </c>
      <c r="I1" s="19" t="inlineStr">
        <is>
          <t>相对基期变动比例</t>
        </is>
      </c>
    </row>
    <row r="2">
      <c r="A2" s="20" t="inlineStr">
        <is>
          <t>深交所</t>
        </is>
      </c>
      <c r="B2" s="20" t="inlineStr">
        <is>
          <t>159919</t>
        </is>
      </c>
      <c r="C2" s="20" t="inlineStr">
        <is>
          <t>沪深300ETF嘉实</t>
        </is>
      </c>
      <c r="D2" s="21" t="n">
        <v>46204</v>
      </c>
      <c r="E2" s="20" t="n">
        <v>655491.66</v>
      </c>
      <c r="H2" s="20" t="n">
        <v>4081881.66</v>
      </c>
    </row>
    <row r="3">
      <c r="A3" s="20" t="inlineStr">
        <is>
          <t>深交所</t>
        </is>
      </c>
      <c r="B3" s="20" t="inlineStr">
        <is>
          <t>159919</t>
        </is>
      </c>
      <c r="C3" s="20" t="inlineStr">
        <is>
          <t>沪深300ETF嘉实</t>
        </is>
      </c>
      <c r="D3" s="21" t="n">
        <v>46205</v>
      </c>
      <c r="E3" s="20" t="n">
        <v>631911.66</v>
      </c>
      <c r="F3" s="20">
        <f>=E3-E2</f>
        <v/>
      </c>
      <c r="G3" s="20">
        <f>=F3/E2</f>
        <v/>
      </c>
      <c r="H3" s="20" t="n">
        <v>4081881.66</v>
      </c>
      <c r="I3" s="20">
        <f>=F3/H3</f>
        <v/>
      </c>
    </row>
    <row r="4">
      <c r="A4" s="20" t="inlineStr">
        <is>
          <t>深交所</t>
        </is>
      </c>
      <c r="B4" s="20" t="inlineStr">
        <is>
          <t>159919</t>
        </is>
      </c>
      <c r="C4" s="20" t="inlineStr">
        <is>
          <t>沪深300ETF嘉实</t>
        </is>
      </c>
      <c r="D4" s="21" t="n">
        <v>46206</v>
      </c>
      <c r="E4" s="20" t="n">
        <v>542811.66</v>
      </c>
      <c r="F4" s="20">
        <f>=E4-E3</f>
        <v/>
      </c>
      <c r="G4" s="20">
        <f>=F4/E3</f>
        <v/>
      </c>
      <c r="H4" s="20" t="n">
        <v>4081881.66</v>
      </c>
      <c r="I4" s="20">
        <f>=F4/H4</f>
        <v/>
      </c>
    </row>
    <row r="5">
      <c r="A5" s="20" t="inlineStr">
        <is>
          <t>深交所</t>
        </is>
      </c>
      <c r="B5" s="20" t="inlineStr">
        <is>
          <t>159919</t>
        </is>
      </c>
      <c r="C5" s="20" t="inlineStr">
        <is>
          <t>沪深300ETF嘉实</t>
        </is>
      </c>
      <c r="D5" s="21" t="n">
        <v>46209</v>
      </c>
      <c r="E5" s="20" t="n">
        <v>536151.66</v>
      </c>
      <c r="F5" s="20">
        <f>=E5-E4</f>
        <v/>
      </c>
      <c r="G5" s="20">
        <f>=F5/E4</f>
        <v/>
      </c>
      <c r="H5" s="20" t="n">
        <v>4081881.66</v>
      </c>
      <c r="I5" s="20">
        <f>=F5/H5</f>
        <v/>
      </c>
    </row>
    <row r="6">
      <c r="A6" s="20" t="inlineStr">
        <is>
          <t>深交所</t>
        </is>
      </c>
      <c r="B6" s="20" t="inlineStr">
        <is>
          <t>159919</t>
        </is>
      </c>
      <c r="C6" s="20" t="inlineStr">
        <is>
          <t>沪深300ETF嘉实</t>
        </is>
      </c>
      <c r="D6" s="21" t="n">
        <v>46210</v>
      </c>
      <c r="E6" s="20" t="n">
        <v>535611.66</v>
      </c>
      <c r="F6" s="20">
        <f>=E6-E5</f>
        <v/>
      </c>
      <c r="G6" s="20">
        <f>=F6/E5</f>
        <v/>
      </c>
      <c r="H6" s="20" t="n">
        <v>4081881.66</v>
      </c>
      <c r="I6" s="20">
        <f>=F6/H6</f>
        <v/>
      </c>
    </row>
    <row r="7">
      <c r="A7" s="20" t="inlineStr">
        <is>
          <t>深交所</t>
        </is>
      </c>
      <c r="B7" s="20" t="inlineStr">
        <is>
          <t>159919</t>
        </is>
      </c>
      <c r="C7" s="20" t="inlineStr">
        <is>
          <t>沪深300ETF嘉实</t>
        </is>
      </c>
      <c r="D7" s="21" t="n">
        <v>46211</v>
      </c>
      <c r="E7" s="20" t="n">
        <v>536871.66</v>
      </c>
      <c r="F7" s="20">
        <f>=E7-E6</f>
        <v/>
      </c>
      <c r="G7" s="20">
        <f>=F7/E6</f>
        <v/>
      </c>
      <c r="H7" s="20" t="n">
        <v>4081881.66</v>
      </c>
      <c r="I7" s="20">
        <f>=F7/H7</f>
        <v/>
      </c>
    </row>
    <row r="8">
      <c r="A8" s="20" t="inlineStr">
        <is>
          <t>深交所</t>
        </is>
      </c>
      <c r="B8" s="20" t="inlineStr">
        <is>
          <t>159919</t>
        </is>
      </c>
      <c r="C8" s="20" t="inlineStr">
        <is>
          <t>沪深300ETF嘉实</t>
        </is>
      </c>
      <c r="D8" s="21" t="n">
        <v>46212</v>
      </c>
      <c r="E8" s="20" t="n">
        <v>534351.66</v>
      </c>
      <c r="F8" s="20">
        <f>=E8-E7</f>
        <v/>
      </c>
      <c r="G8" s="20">
        <f>=F8/E7</f>
        <v/>
      </c>
      <c r="H8" s="20" t="n">
        <v>4081881.66</v>
      </c>
      <c r="I8" s="20">
        <f>=F8/H8</f>
        <v/>
      </c>
    </row>
    <row r="9">
      <c r="A9" s="20" t="inlineStr">
        <is>
          <t>深交所</t>
        </is>
      </c>
      <c r="B9" s="20" t="inlineStr">
        <is>
          <t>159919</t>
        </is>
      </c>
      <c r="C9" s="20" t="inlineStr">
        <is>
          <t>沪深300ETF嘉实</t>
        </is>
      </c>
      <c r="D9" s="21" t="n">
        <v>46213</v>
      </c>
      <c r="E9" s="20" t="n">
        <v>538041.66</v>
      </c>
      <c r="F9" s="20">
        <f>=E9-E8</f>
        <v/>
      </c>
      <c r="G9" s="20">
        <f>=F9/E8</f>
        <v/>
      </c>
      <c r="H9" s="20" t="n">
        <v>4081881.66</v>
      </c>
      <c r="I9" s="20">
        <f>=F9/H9</f>
        <v/>
      </c>
    </row>
    <row r="10">
      <c r="A10" s="20" t="inlineStr">
        <is>
          <t>深交所</t>
        </is>
      </c>
      <c r="B10" s="20" t="inlineStr">
        <is>
          <t>159919</t>
        </is>
      </c>
      <c r="C10" s="20" t="inlineStr">
        <is>
          <t>沪深300ETF嘉实</t>
        </is>
      </c>
      <c r="D10" s="21" t="n">
        <v>46216</v>
      </c>
      <c r="E10" s="20" t="n">
        <v>560991.66</v>
      </c>
      <c r="F10" s="20">
        <f>=E10-E9</f>
        <v/>
      </c>
      <c r="G10" s="20">
        <f>=F10/E9</f>
        <v/>
      </c>
      <c r="H10" s="20" t="n">
        <v>4081881.66</v>
      </c>
      <c r="I10" s="20">
        <f>=F10/H10</f>
        <v/>
      </c>
    </row>
    <row r="11">
      <c r="A11" s="20" t="inlineStr">
        <is>
          <t>深交所</t>
        </is>
      </c>
      <c r="B11" s="20" t="inlineStr">
        <is>
          <t>159919</t>
        </is>
      </c>
      <c r="C11" s="20" t="inlineStr">
        <is>
          <t>沪深300ETF嘉实</t>
        </is>
      </c>
      <c r="D11" s="21" t="n">
        <v>46217</v>
      </c>
      <c r="E11" s="20" t="n">
        <v>561441.66</v>
      </c>
      <c r="F11" s="20">
        <f>=E11-E10</f>
        <v/>
      </c>
      <c r="G11" s="20">
        <f>=F11/E10</f>
        <v/>
      </c>
      <c r="H11" s="20" t="n">
        <v>4081881.66</v>
      </c>
      <c r="I11" s="20">
        <f>=F11/H11</f>
        <v/>
      </c>
    </row>
    <row r="12">
      <c r="A12" s="20" t="inlineStr">
        <is>
          <t>深交所</t>
        </is>
      </c>
      <c r="B12" s="20" t="inlineStr">
        <is>
          <t>159919</t>
        </is>
      </c>
      <c r="C12" s="20" t="inlineStr">
        <is>
          <t>沪深300ETF嘉实</t>
        </is>
      </c>
      <c r="D12" s="21" t="n">
        <v>46218</v>
      </c>
      <c r="E12" s="20" t="n">
        <v>556941.66</v>
      </c>
      <c r="F12" s="20">
        <f>=E12-E11</f>
        <v/>
      </c>
      <c r="G12" s="20">
        <f>=F12/E11</f>
        <v/>
      </c>
      <c r="H12" s="20" t="n">
        <v>4081881.66</v>
      </c>
      <c r="I12" s="20">
        <f>=F12/H12</f>
        <v/>
      </c>
    </row>
    <row r="13">
      <c r="A13" s="20" t="inlineStr">
        <is>
          <t>深交所</t>
        </is>
      </c>
      <c r="B13" s="20" t="inlineStr">
        <is>
          <t>159919</t>
        </is>
      </c>
      <c r="C13" s="20" t="inlineStr">
        <is>
          <t>沪深300ETF嘉实</t>
        </is>
      </c>
      <c r="D13" s="21" t="n">
        <v>46219</v>
      </c>
      <c r="E13" s="20" t="n">
        <v>568371.66</v>
      </c>
      <c r="F13" s="20">
        <f>=E13-E12</f>
        <v/>
      </c>
      <c r="G13" s="20">
        <f>=F13/E12</f>
        <v/>
      </c>
      <c r="H13" s="20" t="n">
        <v>4081881.66</v>
      </c>
      <c r="I13" s="20">
        <f>=F13/H13</f>
        <v/>
      </c>
    </row>
    <row r="14">
      <c r="A14" s="20" t="inlineStr">
        <is>
          <t>深交所</t>
        </is>
      </c>
      <c r="B14" s="20" t="inlineStr">
        <is>
          <t>159919</t>
        </is>
      </c>
      <c r="C14" s="20" t="inlineStr">
        <is>
          <t>沪深300ETF嘉实</t>
        </is>
      </c>
      <c r="D14" s="21" t="n">
        <v>46220</v>
      </c>
      <c r="E14" s="20" t="n">
        <v>623901.66</v>
      </c>
      <c r="F14" s="20">
        <f>=E14-E13</f>
        <v/>
      </c>
      <c r="G14" s="20">
        <f>=F14/E13</f>
        <v/>
      </c>
      <c r="H14" s="20" t="n">
        <v>4081881.66</v>
      </c>
      <c r="I14" s="20">
        <f>=F14/H14</f>
        <v/>
      </c>
    </row>
    <row r="15">
      <c r="A15" s="20" t="inlineStr">
        <is>
          <t>深交所</t>
        </is>
      </c>
      <c r="B15" s="20" t="inlineStr">
        <is>
          <t>159919</t>
        </is>
      </c>
      <c r="C15" s="20" t="inlineStr">
        <is>
          <t>沪深300ETF嘉实</t>
        </is>
      </c>
      <c r="D15" s="21" t="n">
        <v>46223</v>
      </c>
      <c r="E15" s="20" t="n">
        <v>637401.66</v>
      </c>
      <c r="F15" s="20">
        <f>=E15-E14</f>
        <v/>
      </c>
      <c r="G15" s="20">
        <f>=F15/E14</f>
        <v/>
      </c>
      <c r="H15" s="20" t="n">
        <v>4081881.66</v>
      </c>
      <c r="I15" s="20">
        <f>=F15/H15</f>
        <v/>
      </c>
    </row>
    <row r="16">
      <c r="A16" s="20" t="inlineStr">
        <is>
          <t>深交所</t>
        </is>
      </c>
      <c r="B16" s="20" t="inlineStr">
        <is>
          <t>159919</t>
        </is>
      </c>
      <c r="C16" s="20" t="inlineStr">
        <is>
          <t>沪深300ETF嘉实</t>
        </is>
      </c>
      <c r="D16" s="21" t="n">
        <v>46224</v>
      </c>
      <c r="E16" s="20" t="n">
        <v>619491.66</v>
      </c>
      <c r="F16" s="20">
        <f>=E16-E15</f>
        <v/>
      </c>
      <c r="G16" s="20">
        <f>=F16/E15</f>
        <v/>
      </c>
      <c r="H16" s="20" t="n">
        <v>4081881.66</v>
      </c>
      <c r="I16" s="20">
        <f>=F16/H16</f>
        <v/>
      </c>
    </row>
    <row r="17">
      <c r="A17" s="20" t="inlineStr">
        <is>
          <t>深交所</t>
        </is>
      </c>
      <c r="B17" s="20" t="inlineStr">
        <is>
          <t>159919</t>
        </is>
      </c>
      <c r="C17" s="20" t="inlineStr">
        <is>
          <t>沪深300ETF嘉实</t>
        </is>
      </c>
      <c r="D17" s="21" t="n">
        <v>46225</v>
      </c>
      <c r="E17" s="20" t="n">
        <v>618231.66</v>
      </c>
      <c r="F17" s="20">
        <f>=E17-E16</f>
        <v/>
      </c>
      <c r="G17" s="20">
        <f>=F17/E16</f>
        <v/>
      </c>
      <c r="H17" s="20" t="n">
        <v>4081881.66</v>
      </c>
      <c r="I17" s="20">
        <f>=F17/H17</f>
        <v/>
      </c>
    </row>
    <row r="18">
      <c r="A18" s="20" t="inlineStr">
        <is>
          <t>深交所</t>
        </is>
      </c>
      <c r="B18" s="20" t="inlineStr">
        <is>
          <t>159919</t>
        </is>
      </c>
      <c r="C18" s="20" t="inlineStr">
        <is>
          <t>沪深300ETF嘉实</t>
        </is>
      </c>
      <c r="D18" s="21" t="n">
        <v>46226</v>
      </c>
      <c r="E18" s="20" t="n">
        <v>619221.66</v>
      </c>
      <c r="F18" s="20">
        <f>=E18-E17</f>
        <v/>
      </c>
      <c r="G18" s="20">
        <f>=F18/E17</f>
        <v/>
      </c>
      <c r="H18" s="20" t="n">
        <v>4081881.66</v>
      </c>
      <c r="I18" s="20">
        <f>=F18/H18</f>
        <v/>
      </c>
    </row>
    <row r="19">
      <c r="A19" s="20" t="inlineStr">
        <is>
          <t>深交所</t>
        </is>
      </c>
      <c r="B19" s="20" t="inlineStr">
        <is>
          <t>159919</t>
        </is>
      </c>
      <c r="C19" s="20" t="inlineStr">
        <is>
          <t>沪深300ETF嘉实</t>
        </is>
      </c>
      <c r="D19" s="21" t="n">
        <v>46227</v>
      </c>
      <c r="E19" s="20" t="n">
        <v>624441.66</v>
      </c>
      <c r="F19" s="20">
        <f>=E19-E18</f>
        <v/>
      </c>
      <c r="G19" s="20">
        <f>=F19/E18</f>
        <v/>
      </c>
      <c r="H19" s="20" t="n">
        <v>4081881.66</v>
      </c>
      <c r="I19" s="20">
        <f>=F19/H19</f>
        <v/>
      </c>
    </row>
    <row r="20">
      <c r="A20" s="20" t="inlineStr">
        <is>
          <t>深交所</t>
        </is>
      </c>
      <c r="B20" s="20" t="inlineStr">
        <is>
          <t>159919</t>
        </is>
      </c>
      <c r="C20" s="20" t="inlineStr">
        <is>
          <t>沪深300ETF嘉实</t>
        </is>
      </c>
      <c r="D20" s="21" t="n">
        <v>46230</v>
      </c>
      <c r="E20" s="20" t="n">
        <v>629031.66</v>
      </c>
      <c r="F20" s="20">
        <f>=E20-E19</f>
        <v/>
      </c>
      <c r="G20" s="20">
        <f>=F20/E19</f>
        <v/>
      </c>
      <c r="H20" s="20" t="n">
        <v>4081881.66</v>
      </c>
      <c r="I20" s="20">
        <f>=F20/H20</f>
        <v/>
      </c>
    </row>
    <row r="21">
      <c r="A21" s="20" t="inlineStr">
        <is>
          <t>深交所</t>
        </is>
      </c>
      <c r="B21" s="20" t="inlineStr">
        <is>
          <t>159919</t>
        </is>
      </c>
      <c r="C21" s="20" t="inlineStr">
        <is>
          <t>沪深300ETF嘉实</t>
        </is>
      </c>
      <c r="D21" s="21" t="n">
        <v>46231</v>
      </c>
      <c r="E21" s="20" t="n">
        <v>633531.66</v>
      </c>
      <c r="F21" s="20">
        <f>=E21-E20</f>
        <v/>
      </c>
      <c r="G21" s="20">
        <f>=F21/E20</f>
        <v/>
      </c>
      <c r="H21" s="20" t="n">
        <v>4081881.66</v>
      </c>
      <c r="I21" s="20">
        <f>=F21/H21</f>
        <v/>
      </c>
    </row>
    <row r="22">
      <c r="A22" s="20" t="inlineStr">
        <is>
          <t>深交所</t>
        </is>
      </c>
      <c r="B22" s="20" t="inlineStr">
        <is>
          <t>159919</t>
        </is>
      </c>
      <c r="C22" s="20" t="inlineStr">
        <is>
          <t>沪深300ETF嘉实</t>
        </is>
      </c>
      <c r="D22" s="21" t="n">
        <v>46232</v>
      </c>
      <c r="E22" s="20" t="n">
        <v>642441.66</v>
      </c>
      <c r="F22" s="20">
        <f>=E22-E21</f>
        <v/>
      </c>
      <c r="G22" s="20">
        <f>=F22/E21</f>
        <v/>
      </c>
      <c r="H22" s="20" t="n">
        <v>4081881.66</v>
      </c>
      <c r="I22" s="20">
        <f>=F22/H22</f>
        <v/>
      </c>
    </row>
    <row r="23">
      <c r="A23" s="20" t="inlineStr">
        <is>
          <t>深交所</t>
        </is>
      </c>
      <c r="B23" s="20" t="inlineStr">
        <is>
          <t>159919</t>
        </is>
      </c>
      <c r="C23" s="20" t="inlineStr">
        <is>
          <t>沪深300ETF嘉实</t>
        </is>
      </c>
      <c r="D23" s="21" t="n">
        <v>46233</v>
      </c>
      <c r="E23" s="20" t="n">
        <v>654411.66</v>
      </c>
      <c r="F23" s="20">
        <f>=E23-E22</f>
        <v/>
      </c>
      <c r="G23" s="20">
        <f>=F23/E22</f>
        <v/>
      </c>
      <c r="H23" s="20" t="n">
        <v>4081881.66</v>
      </c>
      <c r="I23" s="20">
        <f>=F23/H23</f>
        <v/>
      </c>
    </row>
    <row r="24">
      <c r="A24" s="20" t="inlineStr">
        <is>
          <t>深交所</t>
        </is>
      </c>
      <c r="B24" s="20" t="inlineStr">
        <is>
          <t>159919</t>
        </is>
      </c>
      <c r="C24" s="20" t="inlineStr">
        <is>
          <t>沪深300ETF嘉实</t>
        </is>
      </c>
      <c r="D24" s="21" t="n">
        <v>46234</v>
      </c>
      <c r="E24" s="20" t="n">
        <v>660891.66</v>
      </c>
      <c r="F24" s="20">
        <f>=E24-E23</f>
        <v/>
      </c>
      <c r="G24" s="20">
        <f>=F24/E23</f>
        <v/>
      </c>
      <c r="H24" s="20" t="n">
        <v>4081881.66</v>
      </c>
      <c r="I24" s="20">
        <f>=F24/H24</f>
        <v/>
      </c>
    </row>
    <row r="25">
      <c r="A25" s="20" t="inlineStr">
        <is>
          <t>深交所</t>
        </is>
      </c>
      <c r="B25" s="20" t="inlineStr">
        <is>
          <t>159919</t>
        </is>
      </c>
      <c r="C25" s="20" t="inlineStr">
        <is>
          <t>沪深300ETF嘉实</t>
        </is>
      </c>
      <c r="D25" s="21" t="n">
        <v>46237</v>
      </c>
      <c r="E25" s="20" t="n">
        <v>670521.66</v>
      </c>
      <c r="F25" s="20">
        <f>=E25-E24</f>
        <v/>
      </c>
      <c r="G25" s="20">
        <f>=F25/E24</f>
        <v/>
      </c>
      <c r="H25" s="20" t="n">
        <v>4081881.66</v>
      </c>
      <c r="I25" s="20">
        <f>=F25/H25</f>
        <v/>
      </c>
    </row>
    <row r="26">
      <c r="A26" s="3" t="inlineStr">
        <is>
          <t>深交所</t>
        </is>
      </c>
      <c r="B26" s="3" t="inlineStr">
        <is>
          <t>159919</t>
        </is>
      </c>
      <c r="C26" s="3" t="inlineStr">
        <is>
          <t>沪深300ETF嘉实</t>
        </is>
      </c>
      <c r="D26" s="23" t="n">
        <v>46238</v>
      </c>
      <c r="E26" s="3" t="n">
        <v>661251.66</v>
      </c>
      <c r="F26" s="3">
        <f>E26-E25</f>
        <v/>
      </c>
      <c r="G26" s="3">
        <f>F26/E25</f>
        <v/>
      </c>
      <c r="H26" s="3" t="n">
        <v>4081881.66</v>
      </c>
      <c r="I26" s="3">
        <f>F26/H26</f>
        <v/>
      </c>
    </row>
    <row r="27">
      <c r="A27" s="3" t="inlineStr">
        <is>
          <t>深交所</t>
        </is>
      </c>
      <c r="B27" s="3" t="inlineStr">
        <is>
          <t>159919</t>
        </is>
      </c>
      <c r="C27" s="3" t="inlineStr">
        <is>
          <t>沪深300ETF嘉实</t>
        </is>
      </c>
      <c r="D27" s="23" t="n">
        <v>46239</v>
      </c>
      <c r="E27" s="3" t="n">
        <v>651801.66</v>
      </c>
      <c r="F27" s="3">
        <f>E27-E26</f>
        <v/>
      </c>
      <c r="G27" s="3">
        <f>F27/E26</f>
        <v/>
      </c>
      <c r="H27" s="3" t="n">
        <v>4081881.66</v>
      </c>
      <c r="I27" s="3">
        <f>F27/H27</f>
        <v/>
      </c>
    </row>
    <row r="28">
      <c r="A28" s="3" t="inlineStr">
        <is>
          <t>深交所</t>
        </is>
      </c>
      <c r="B28" s="3" t="inlineStr">
        <is>
          <t>159919</t>
        </is>
      </c>
      <c r="C28" s="3" t="inlineStr">
        <is>
          <t>沪深300ETF嘉实</t>
        </is>
      </c>
      <c r="D28" s="23" t="n">
        <v>46240</v>
      </c>
      <c r="E28" s="3" t="n">
        <v>648831.66</v>
      </c>
      <c r="F28" s="3">
        <f>E28-E27</f>
        <v/>
      </c>
      <c r="G28" s="3">
        <f>F28/E27</f>
        <v/>
      </c>
      <c r="H28" s="3" t="n">
        <v>4081881.66</v>
      </c>
      <c r="I28" s="3">
        <f>F28/H28</f>
        <v/>
      </c>
    </row>
    <row r="29">
      <c r="A29" s="3" t="inlineStr">
        <is>
          <t>深交所</t>
        </is>
      </c>
      <c r="B29" s="3" t="inlineStr">
        <is>
          <t>159919</t>
        </is>
      </c>
      <c r="C29" s="3" t="inlineStr">
        <is>
          <t>沪深300ETF嘉实</t>
        </is>
      </c>
      <c r="D29" s="23" t="n">
        <v>46241</v>
      </c>
      <c r="E29" s="3" t="n">
        <v>637851.66</v>
      </c>
      <c r="F29" s="3">
        <f>E29-E28</f>
        <v/>
      </c>
      <c r="G29" s="3">
        <f>F29/E28</f>
        <v/>
      </c>
      <c r="H29" s="3" t="n">
        <v>4081881.66</v>
      </c>
      <c r="I29" s="3">
        <f>F29/H29</f>
        <v/>
      </c>
    </row>
    <row r="30">
      <c r="A30" s="3" t="inlineStr">
        <is>
          <t>深交所</t>
        </is>
      </c>
      <c r="B30" s="3" t="inlineStr">
        <is>
          <t>159919</t>
        </is>
      </c>
      <c r="C30" s="3" t="inlineStr">
        <is>
          <t>沪深300ETF嘉实</t>
        </is>
      </c>
      <c r="D30" s="23" t="n">
        <v>46244</v>
      </c>
      <c r="E30" s="3" t="n">
        <v>633531.66</v>
      </c>
      <c r="F30" s="3">
        <f>E30-E29</f>
        <v/>
      </c>
      <c r="G30" s="3">
        <f>F30/E29</f>
        <v/>
      </c>
      <c r="H30" s="3" t="n">
        <v>4081881.66</v>
      </c>
      <c r="I30" s="3">
        <f>F30/H30</f>
        <v/>
      </c>
    </row>
    <row r="31">
      <c r="A31" s="3" t="inlineStr">
        <is>
          <t>深交所</t>
        </is>
      </c>
      <c r="B31" s="3" t="inlineStr">
        <is>
          <t>159919</t>
        </is>
      </c>
      <c r="C31" s="3" t="inlineStr">
        <is>
          <t>沪深300ETF嘉实</t>
        </is>
      </c>
      <c r="D31" s="23" t="n">
        <v>46245</v>
      </c>
      <c r="E31" s="3" t="n">
        <v>633981.66</v>
      </c>
      <c r="F31" s="3">
        <f>E31-E30</f>
        <v/>
      </c>
      <c r="G31" s="3">
        <f>F31/E30</f>
        <v/>
      </c>
      <c r="H31" s="3" t="n">
        <v>4081881.66</v>
      </c>
      <c r="I31" s="3">
        <f>F31/H31</f>
        <v/>
      </c>
    </row>
    <row r="32">
      <c r="A32" s="3" t="inlineStr">
        <is>
          <t>深交所</t>
        </is>
      </c>
      <c r="B32" s="3" t="inlineStr">
        <is>
          <t>159919</t>
        </is>
      </c>
      <c r="C32" s="3" t="inlineStr">
        <is>
          <t>沪深300ETF嘉实</t>
        </is>
      </c>
      <c r="D32" s="23" t="n">
        <v>46246</v>
      </c>
      <c r="E32" s="3" t="n">
        <v>628491.66</v>
      </c>
      <c r="F32" s="3">
        <f>E32-E31</f>
        <v/>
      </c>
      <c r="G32" s="3">
        <f>F32/E31</f>
        <v/>
      </c>
      <c r="H32" s="3" t="n">
        <v>4081881.66</v>
      </c>
      <c r="I32" s="3">
        <f>F32/H32</f>
        <v/>
      </c>
    </row>
    <row r="33">
      <c r="A33" s="3" t="inlineStr">
        <is>
          <t>深交所</t>
        </is>
      </c>
      <c r="B33" s="3" t="inlineStr">
        <is>
          <t>159919</t>
        </is>
      </c>
      <c r="C33" s="3" t="inlineStr">
        <is>
          <t>沪深300ETF嘉实</t>
        </is>
      </c>
      <c r="D33" s="23" t="n">
        <v>46247</v>
      </c>
      <c r="E33" s="3" t="n">
        <v>623541.66</v>
      </c>
      <c r="F33" s="3">
        <f>E33-E32</f>
        <v/>
      </c>
      <c r="G33" s="3">
        <f>F33/E32</f>
        <v/>
      </c>
      <c r="H33" s="3" t="n">
        <v>4081881.66</v>
      </c>
      <c r="I33" s="3">
        <f>F33/H33</f>
        <v/>
      </c>
    </row>
    <row r="34">
      <c r="A34" s="3" t="inlineStr">
        <is>
          <t>深交所</t>
        </is>
      </c>
      <c r="B34" s="3" t="inlineStr">
        <is>
          <t>159919</t>
        </is>
      </c>
      <c r="C34" s="3" t="inlineStr">
        <is>
          <t>沪深300ETF嘉实</t>
        </is>
      </c>
      <c r="D34" s="23" t="n">
        <v>46248</v>
      </c>
      <c r="E34" s="3" t="n">
        <v>622731.66</v>
      </c>
      <c r="F34" s="3">
        <f>E34-E33</f>
        <v/>
      </c>
      <c r="G34" s="3">
        <f>F34/E33</f>
        <v/>
      </c>
      <c r="H34" s="3" t="n">
        <v>4081881.66</v>
      </c>
      <c r="I34" s="3">
        <f>F34/H34</f>
        <v/>
      </c>
    </row>
    <row r="35">
      <c r="A35" s="3" t="inlineStr">
        <is>
          <t>深交所</t>
        </is>
      </c>
      <c r="B35" s="3" t="inlineStr">
        <is>
          <t>159919</t>
        </is>
      </c>
      <c r="C35" s="3" t="inlineStr">
        <is>
          <t>沪深300ETF嘉实</t>
        </is>
      </c>
      <c r="D35" s="23" t="n">
        <v>46251</v>
      </c>
      <c r="E35" s="3" t="n">
        <v>617241.66</v>
      </c>
      <c r="F35" s="3">
        <f>E35-E34</f>
        <v/>
      </c>
      <c r="G35" s="3">
        <f>F35/E34</f>
        <v/>
      </c>
      <c r="H35" s="3" t="n">
        <v>4081881.66</v>
      </c>
      <c r="I35" s="3">
        <f>F35/H35</f>
        <v/>
      </c>
    </row>
    <row r="36">
      <c r="A36" s="3" t="inlineStr">
        <is>
          <t>深交所</t>
        </is>
      </c>
      <c r="B36" s="3" t="inlineStr">
        <is>
          <t>159919</t>
        </is>
      </c>
      <c r="C36" s="3" t="inlineStr">
        <is>
          <t>沪深300ETF嘉实</t>
        </is>
      </c>
      <c r="D36" s="23" t="n">
        <v>46252</v>
      </c>
      <c r="E36" s="3" t="n">
        <v>613281.66</v>
      </c>
      <c r="F36" s="3">
        <f>E36-E35</f>
        <v/>
      </c>
      <c r="G36" s="3">
        <f>F36/E35</f>
        <v/>
      </c>
      <c r="H36" s="3" t="n">
        <v>4081881.66</v>
      </c>
      <c r="I36" s="3">
        <f>F36/H36</f>
        <v/>
      </c>
    </row>
    <row r="37">
      <c r="A37" s="3" t="inlineStr">
        <is>
          <t>深交所</t>
        </is>
      </c>
      <c r="B37" s="3" t="inlineStr">
        <is>
          <t>159919</t>
        </is>
      </c>
      <c r="C37" s="3" t="inlineStr">
        <is>
          <t>沪深300ETF嘉实</t>
        </is>
      </c>
      <c r="D37" s="23" t="n">
        <v>46253</v>
      </c>
      <c r="E37" s="3" t="n">
        <v>626601.66</v>
      </c>
      <c r="F37" s="3">
        <f>E37-E36</f>
        <v/>
      </c>
      <c r="G37" s="3">
        <f>F37/E36</f>
        <v/>
      </c>
      <c r="H37" s="3" t="n">
        <v>4081881.66</v>
      </c>
      <c r="I37" s="3">
        <f>F37/H37</f>
        <v/>
      </c>
    </row>
    <row r="38">
      <c r="A38" s="3" t="inlineStr">
        <is>
          <t>深交所</t>
        </is>
      </c>
      <c r="B38" s="3" t="inlineStr">
        <is>
          <t>159919</t>
        </is>
      </c>
      <c r="C38" s="3" t="inlineStr">
        <is>
          <t>沪深300ETF嘉实</t>
        </is>
      </c>
      <c r="D38" s="23" t="n">
        <v>46254</v>
      </c>
      <c r="E38" s="3" t="n">
        <v>627141.66</v>
      </c>
      <c r="F38" s="3">
        <f>E38-E37</f>
        <v/>
      </c>
      <c r="G38" s="3">
        <f>F38/E37</f>
        <v/>
      </c>
      <c r="H38" s="3" t="n">
        <v>4081881.66</v>
      </c>
      <c r="I38" s="3">
        <f>F38/H38</f>
        <v/>
      </c>
    </row>
    <row r="39">
      <c r="A39" s="3" t="inlineStr">
        <is>
          <t>深交所</t>
        </is>
      </c>
      <c r="B39" s="3" t="inlineStr">
        <is>
          <t>159919</t>
        </is>
      </c>
      <c r="C39" s="3" t="inlineStr">
        <is>
          <t>沪深300ETF嘉实</t>
        </is>
      </c>
      <c r="D39" s="23" t="n">
        <v>46255</v>
      </c>
      <c r="E39" s="3" t="n">
        <v>622101.66</v>
      </c>
      <c r="F39" s="3">
        <f>E39-E38</f>
        <v/>
      </c>
      <c r="G39" s="3">
        <f>F39/E38</f>
        <v/>
      </c>
      <c r="H39" s="3" t="n">
        <v>4081881.66</v>
      </c>
      <c r="I39" s="3">
        <f>F39/H39</f>
        <v/>
      </c>
    </row>
    <row r="40">
      <c r="A40" s="3" t="inlineStr">
        <is>
          <t>深交所</t>
        </is>
      </c>
      <c r="B40" s="3" t="inlineStr">
        <is>
          <t>159919</t>
        </is>
      </c>
      <c r="C40" s="3" t="inlineStr">
        <is>
          <t>沪深300ETF嘉实</t>
        </is>
      </c>
      <c r="D40" s="23" t="n">
        <v>46258</v>
      </c>
      <c r="E40" s="3" t="n">
        <v>627861.66</v>
      </c>
      <c r="F40" s="3">
        <f>E40-E39</f>
        <v/>
      </c>
      <c r="G40" s="3">
        <f>F40/E39</f>
        <v/>
      </c>
      <c r="H40" s="3" t="n">
        <v>4081881.66</v>
      </c>
      <c r="I40" s="3">
        <f>F40/H40</f>
        <v/>
      </c>
    </row>
    <row r="41">
      <c r="A41" s="3" t="inlineStr">
        <is>
          <t>深交所</t>
        </is>
      </c>
      <c r="B41" s="3" t="inlineStr">
        <is>
          <t>159919</t>
        </is>
      </c>
      <c r="C41" s="3" t="inlineStr">
        <is>
          <t>沪深300ETF嘉实</t>
        </is>
      </c>
      <c r="D41" s="23" t="n">
        <v>46259</v>
      </c>
      <c r="E41" s="3" t="n">
        <v>630021.66</v>
      </c>
      <c r="F41" s="3">
        <f>E41-E40</f>
        <v/>
      </c>
      <c r="G41" s="3">
        <f>F41/E40</f>
        <v/>
      </c>
      <c r="H41" s="3" t="n">
        <v>4081881.66</v>
      </c>
      <c r="I41" s="3">
        <f>F41/H41</f>
        <v/>
      </c>
    </row>
    <row r="42">
      <c r="A42" s="3" t="inlineStr">
        <is>
          <t>深交所</t>
        </is>
      </c>
      <c r="B42" s="3" t="inlineStr">
        <is>
          <t>159919</t>
        </is>
      </c>
      <c r="C42" s="3" t="inlineStr">
        <is>
          <t>沪深300ETF嘉实</t>
        </is>
      </c>
      <c r="D42" s="23" t="n">
        <v>46260</v>
      </c>
      <c r="E42" s="3" t="n">
        <v>630381.66</v>
      </c>
      <c r="F42" s="3">
        <f>E42-E41</f>
        <v/>
      </c>
      <c r="G42" s="3">
        <f>F42/E41</f>
        <v/>
      </c>
      <c r="H42" s="3" t="n">
        <v>4081881.66</v>
      </c>
      <c r="I42" s="3">
        <f>F42/H42</f>
        <v/>
      </c>
    </row>
    <row r="43">
      <c r="A43" s="3" t="inlineStr">
        <is>
          <t>深交所</t>
        </is>
      </c>
      <c r="B43" s="3" t="inlineStr">
        <is>
          <t>159919</t>
        </is>
      </c>
      <c r="C43" s="3" t="inlineStr">
        <is>
          <t>沪深300ETF嘉实</t>
        </is>
      </c>
      <c r="D43" s="23" t="n">
        <v>46261</v>
      </c>
      <c r="E43" s="3" t="n">
        <v>628491.66</v>
      </c>
      <c r="F43" s="3">
        <f>E43-E42</f>
        <v/>
      </c>
      <c r="G43" s="3">
        <f>F43/E42</f>
        <v/>
      </c>
      <c r="H43" s="3" t="n">
        <v>4081881.66</v>
      </c>
      <c r="I43" s="3">
        <f>F43/H43</f>
        <v/>
      </c>
    </row>
    <row r="44">
      <c r="A44" s="3" t="inlineStr">
        <is>
          <t>深交所</t>
        </is>
      </c>
      <c r="B44" s="3" t="inlineStr">
        <is>
          <t>159919</t>
        </is>
      </c>
      <c r="C44" s="3" t="inlineStr">
        <is>
          <t>沪深300ETF嘉实</t>
        </is>
      </c>
      <c r="D44" s="23" t="n">
        <v>46262</v>
      </c>
      <c r="E44" s="3" t="n">
        <v>626241.66</v>
      </c>
      <c r="F44" s="3">
        <f>E44-E43</f>
        <v/>
      </c>
      <c r="G44" s="3">
        <f>F44/E43</f>
        <v/>
      </c>
      <c r="H44" s="3" t="n">
        <v>4081881.66</v>
      </c>
      <c r="I44" s="3">
        <f>F44/H44</f>
        <v/>
      </c>
    </row>
    <row r="45">
      <c r="A45" s="3" t="inlineStr">
        <is>
          <t>深交所</t>
        </is>
      </c>
      <c r="B45" s="3" t="inlineStr">
        <is>
          <t>159919</t>
        </is>
      </c>
      <c r="C45" s="3" t="inlineStr">
        <is>
          <t>沪深300ETF嘉实</t>
        </is>
      </c>
      <c r="D45" s="23" t="n">
        <v>46265</v>
      </c>
      <c r="E45" s="3" t="n">
        <v>629841.66</v>
      </c>
      <c r="F45" s="3">
        <f>E45-E44</f>
        <v/>
      </c>
      <c r="G45" s="3">
        <f>F45/E44</f>
        <v/>
      </c>
      <c r="H45" s="3" t="n">
        <v>4081881.66</v>
      </c>
      <c r="I45" s="3">
        <f>F45/H45</f>
        <v/>
      </c>
    </row>
    <row r="46">
      <c r="A46" s="3" t="inlineStr">
        <is>
          <t>深交所</t>
        </is>
      </c>
      <c r="B46" s="3" t="inlineStr">
        <is>
          <t>159919</t>
        </is>
      </c>
      <c r="C46" s="3" t="inlineStr">
        <is>
          <t>沪深300ETF嘉实</t>
        </is>
      </c>
      <c r="D46" s="23" t="n">
        <v>46266</v>
      </c>
      <c r="E46" s="3" t="n">
        <v>623001.66</v>
      </c>
      <c r="F46" s="3">
        <f>E46-E45</f>
        <v/>
      </c>
      <c r="G46" s="3">
        <f>F46/E45</f>
        <v/>
      </c>
      <c r="H46" s="3" t="n">
        <v>4081881.66</v>
      </c>
      <c r="I46" s="3">
        <f>F46/H46</f>
        <v/>
      </c>
    </row>
    <row r="47">
      <c r="A47" s="3" t="inlineStr">
        <is>
          <t>深交所</t>
        </is>
      </c>
      <c r="B47" s="3" t="inlineStr">
        <is>
          <t>159919</t>
        </is>
      </c>
      <c r="C47" s="3" t="inlineStr">
        <is>
          <t>沪深300ETF嘉实</t>
        </is>
      </c>
      <c r="D47" s="23" t="n">
        <v>46267</v>
      </c>
      <c r="E47" s="3" t="n">
        <v>622641.66</v>
      </c>
      <c r="F47" s="3">
        <f>E47-E46</f>
        <v/>
      </c>
      <c r="G47" s="3">
        <f>F47/E46</f>
        <v/>
      </c>
      <c r="H47" s="3" t="n">
        <v>4081881.66</v>
      </c>
      <c r="I47" s="3">
        <f>F47/H47</f>
        <v/>
      </c>
    </row>
    <row r="48">
      <c r="A48" s="3" t="inlineStr">
        <is>
          <t>深交所</t>
        </is>
      </c>
      <c r="B48" s="3" t="inlineStr">
        <is>
          <t>159919</t>
        </is>
      </c>
      <c r="C48" s="3" t="inlineStr">
        <is>
          <t>沪深300ETF嘉实</t>
        </is>
      </c>
      <c r="D48" s="23" t="n">
        <v>46268</v>
      </c>
      <c r="E48" s="3" t="n">
        <v>623541.66</v>
      </c>
      <c r="F48" s="3">
        <f>E48-E47</f>
        <v/>
      </c>
      <c r="G48" s="3">
        <f>F48/E47</f>
        <v/>
      </c>
      <c r="H48" s="3" t="n">
        <v>4081881.66</v>
      </c>
      <c r="I48" s="3">
        <f>F48/H48</f>
        <v/>
      </c>
    </row>
    <row r="49">
      <c r="A49" s="3" t="inlineStr">
        <is>
          <t>深交所</t>
        </is>
      </c>
      <c r="B49" s="3" t="inlineStr">
        <is>
          <t>159919</t>
        </is>
      </c>
      <c r="C49" s="3" t="inlineStr">
        <is>
          <t>沪深300ETF嘉实</t>
        </is>
      </c>
      <c r="D49" s="23" t="n">
        <v>46269</v>
      </c>
      <c r="E49" s="3" t="n">
        <v>625341.66</v>
      </c>
      <c r="F49" s="3">
        <f>E49-E48</f>
        <v/>
      </c>
      <c r="G49" s="3">
        <f>F49/E48</f>
        <v/>
      </c>
      <c r="H49" s="3" t="n">
        <v>4081881.66</v>
      </c>
      <c r="I49" s="3">
        <f>F49/H49</f>
        <v/>
      </c>
    </row>
    <row r="50">
      <c r="A50" s="3" t="inlineStr">
        <is>
          <t>深交所</t>
        </is>
      </c>
      <c r="B50" s="3" t="inlineStr">
        <is>
          <t>159919</t>
        </is>
      </c>
      <c r="C50" s="3" t="inlineStr">
        <is>
          <t>沪深300ETF嘉实</t>
        </is>
      </c>
      <c r="D50" s="23" t="n">
        <v>46272</v>
      </c>
      <c r="E50" s="3" t="n">
        <v>628761.66</v>
      </c>
      <c r="F50" s="3">
        <f>E50-E49</f>
        <v/>
      </c>
      <c r="G50" s="3">
        <f>F50/E49</f>
        <v/>
      </c>
      <c r="H50" s="3" t="n">
        <v>4081881.66</v>
      </c>
      <c r="I50" s="3">
        <f>F50/H50</f>
        <v/>
      </c>
    </row>
    <row r="51">
      <c r="A51" s="3" t="inlineStr">
        <is>
          <t>深交所</t>
        </is>
      </c>
      <c r="B51" s="3" t="inlineStr">
        <is>
          <t>159919</t>
        </is>
      </c>
      <c r="C51" s="3" t="inlineStr">
        <is>
          <t>沪深300ETF嘉实</t>
        </is>
      </c>
      <c r="D51" s="23" t="n">
        <v>46273</v>
      </c>
      <c r="E51" s="3" t="n">
        <v>625701.66</v>
      </c>
      <c r="F51" s="3">
        <f>E51-E50</f>
        <v/>
      </c>
      <c r="G51" s="3">
        <f>F51/E50</f>
        <v/>
      </c>
      <c r="H51" s="3" t="n">
        <v>4081881.66</v>
      </c>
      <c r="I51" s="3">
        <f>F51/H51</f>
        <v/>
      </c>
    </row>
    <row r="52">
      <c r="A52" s="3" t="inlineStr">
        <is>
          <t>深交所</t>
        </is>
      </c>
      <c r="B52" s="3" t="inlineStr">
        <is>
          <t>159919</t>
        </is>
      </c>
      <c r="C52" s="3" t="inlineStr">
        <is>
          <t>沪深300ETF嘉实</t>
        </is>
      </c>
      <c r="D52" s="23" t="n">
        <v>46274</v>
      </c>
      <c r="E52" s="3" t="n">
        <v>624711.66</v>
      </c>
      <c r="F52" s="3">
        <f>E52-E51</f>
        <v/>
      </c>
      <c r="G52" s="3">
        <f>F52/E51</f>
        <v/>
      </c>
      <c r="H52" s="3" t="n">
        <v>4081881.66</v>
      </c>
      <c r="I52" s="3">
        <f>F52/H52</f>
        <v/>
      </c>
    </row>
    <row r="53">
      <c r="A53" s="3" t="inlineStr">
        <is>
          <t>深交所</t>
        </is>
      </c>
      <c r="B53" s="3" t="inlineStr">
        <is>
          <t>159919</t>
        </is>
      </c>
      <c r="C53" s="3" t="inlineStr">
        <is>
          <t>沪深300ETF嘉实</t>
        </is>
      </c>
      <c r="D53" s="23" t="n">
        <v>46275</v>
      </c>
      <c r="E53" s="3" t="n">
        <v>624351.66</v>
      </c>
      <c r="F53" s="3">
        <f>E53-E52</f>
        <v/>
      </c>
      <c r="G53" s="3">
        <f>F53/E52</f>
        <v/>
      </c>
      <c r="H53" s="3" t="n">
        <v>4081881.66</v>
      </c>
      <c r="I53" s="3">
        <f>F53/H53</f>
        <v/>
      </c>
    </row>
    <row r="54">
      <c r="A54" s="3" t="inlineStr">
        <is>
          <t>深交所</t>
        </is>
      </c>
      <c r="B54" s="3" t="inlineStr">
        <is>
          <t>159919</t>
        </is>
      </c>
      <c r="C54" s="3" t="inlineStr">
        <is>
          <t>沪深300ETF嘉实</t>
        </is>
      </c>
      <c r="D54" s="23" t="n">
        <v>46276</v>
      </c>
      <c r="E54" s="3" t="n">
        <v>626241.66</v>
      </c>
      <c r="F54" s="3">
        <f>E54-E53</f>
        <v/>
      </c>
      <c r="G54" s="3">
        <f>F54/E53</f>
        <v/>
      </c>
      <c r="H54" s="3" t="n">
        <v>4081881.66</v>
      </c>
      <c r="I54" s="3">
        <f>F54/H54</f>
        <v/>
      </c>
    </row>
    <row r="55">
      <c r="A55" s="3" t="inlineStr">
        <is>
          <t>深交所</t>
        </is>
      </c>
      <c r="B55" s="3" t="inlineStr">
        <is>
          <t>159919</t>
        </is>
      </c>
      <c r="C55" s="3" t="inlineStr">
        <is>
          <t>沪深300ETF嘉实</t>
        </is>
      </c>
      <c r="D55" s="23" t="n">
        <v>46279</v>
      </c>
      <c r="E55" s="3" t="n">
        <v>631101.66</v>
      </c>
      <c r="F55" s="3">
        <f>E55-E54</f>
        <v/>
      </c>
      <c r="G55" s="3">
        <f>F55/E54</f>
        <v/>
      </c>
      <c r="H55" s="3" t="n">
        <v>4081881.66</v>
      </c>
      <c r="I55" s="3">
        <f>F55/H55</f>
        <v/>
      </c>
    </row>
    <row r="56">
      <c r="A56" s="3" t="inlineStr">
        <is>
          <t>深交所</t>
        </is>
      </c>
      <c r="B56" s="3" t="inlineStr">
        <is>
          <t>159919</t>
        </is>
      </c>
      <c r="C56" s="3" t="inlineStr">
        <is>
          <t>沪深300ETF嘉实</t>
        </is>
      </c>
      <c r="D56" s="23" t="n">
        <v>46280</v>
      </c>
      <c r="E56" s="3" t="n">
        <v>633711.66</v>
      </c>
      <c r="F56" s="3">
        <f>E56-E55</f>
        <v/>
      </c>
      <c r="G56" s="3">
        <f>F56/E55</f>
        <v/>
      </c>
      <c r="H56" s="3" t="n">
        <v>4081881.66</v>
      </c>
      <c r="I56" s="3">
        <f>F56/H56</f>
        <v/>
      </c>
    </row>
    <row r="57">
      <c r="A57" s="3" t="inlineStr">
        <is>
          <t>深交所</t>
        </is>
      </c>
      <c r="B57" s="3" t="inlineStr">
        <is>
          <t>159919</t>
        </is>
      </c>
      <c r="C57" s="3" t="inlineStr">
        <is>
          <t>沪深300ETF嘉实</t>
        </is>
      </c>
      <c r="D57" s="23" t="n">
        <v>46281</v>
      </c>
      <c r="E57" s="3" t="n">
        <v>634161.66</v>
      </c>
      <c r="F57" s="3">
        <f>E57-E56</f>
        <v/>
      </c>
      <c r="G57" s="3">
        <f>F57/E56</f>
        <v/>
      </c>
      <c r="H57" s="3" t="n">
        <v>4081881.66</v>
      </c>
      <c r="I57" s="3">
        <f>F57/H57</f>
        <v/>
      </c>
    </row>
    <row r="58">
      <c r="A58" s="3" t="inlineStr">
        <is>
          <t>深交所</t>
        </is>
      </c>
      <c r="B58" s="3" t="inlineStr">
        <is>
          <t>159919</t>
        </is>
      </c>
      <c r="C58" s="3" t="inlineStr">
        <is>
          <t>沪深300ETF嘉实</t>
        </is>
      </c>
      <c r="D58" s="23" t="n">
        <v>46282</v>
      </c>
      <c r="E58" s="3" t="n">
        <v>634071.66</v>
      </c>
      <c r="F58" s="3">
        <f>E58-E57</f>
        <v/>
      </c>
      <c r="G58" s="3">
        <f>F58/E57</f>
        <v/>
      </c>
      <c r="H58" s="3" t="n">
        <v>4081881.66</v>
      </c>
      <c r="I58" s="3">
        <f>F58/H58</f>
        <v/>
      </c>
    </row>
    <row r="59">
      <c r="A59" s="3" t="inlineStr">
        <is>
          <t>深交所</t>
        </is>
      </c>
      <c r="B59" s="3" t="inlineStr">
        <is>
          <t>159919</t>
        </is>
      </c>
      <c r="C59" s="3" t="inlineStr">
        <is>
          <t>沪深300ETF嘉实</t>
        </is>
      </c>
      <c r="D59" s="23" t="n">
        <v>46283</v>
      </c>
      <c r="E59" s="3" t="n">
        <v>632901.66</v>
      </c>
      <c r="F59" s="3">
        <f>E59-E58</f>
        <v/>
      </c>
      <c r="G59" s="3">
        <f>F59/E58</f>
        <v/>
      </c>
      <c r="H59" s="3" t="n">
        <v>4081881.66</v>
      </c>
      <c r="I59" s="3">
        <f>F59/H59</f>
        <v/>
      </c>
    </row>
    <row r="60">
      <c r="A60" s="3" t="inlineStr">
        <is>
          <t>深交所</t>
        </is>
      </c>
      <c r="B60" s="3" t="inlineStr">
        <is>
          <t>159919</t>
        </is>
      </c>
      <c r="C60" s="3" t="inlineStr">
        <is>
          <t>沪深300ETF嘉实</t>
        </is>
      </c>
      <c r="D60" s="23" t="n">
        <v>46286</v>
      </c>
      <c r="E60" s="3" t="n">
        <v>633171.66</v>
      </c>
      <c r="F60" s="3">
        <f>E60-E59</f>
        <v/>
      </c>
      <c r="G60" s="3">
        <f>F60/E59</f>
        <v/>
      </c>
      <c r="H60" s="3" t="n">
        <v>4081881.66</v>
      </c>
      <c r="I60" s="3">
        <f>F60/H60</f>
        <v/>
      </c>
    </row>
    <row r="61">
      <c r="A61" s="3" t="inlineStr">
        <is>
          <t>深交所</t>
        </is>
      </c>
      <c r="B61" s="3" t="inlineStr">
        <is>
          <t>159919</t>
        </is>
      </c>
      <c r="C61" s="3" t="inlineStr">
        <is>
          <t>沪深300ETF嘉实</t>
        </is>
      </c>
      <c r="D61" s="23" t="n">
        <v>46287</v>
      </c>
      <c r="E61" s="3" t="n">
        <v>644511.66</v>
      </c>
      <c r="F61" s="3">
        <f>E61-E60</f>
        <v/>
      </c>
      <c r="G61" s="3">
        <f>F61/E60</f>
        <v/>
      </c>
      <c r="H61" s="3" t="n">
        <v>4081881.66</v>
      </c>
      <c r="I61" s="3">
        <f>F61/H61</f>
        <v/>
      </c>
    </row>
    <row r="62">
      <c r="A62" s="3" t="inlineStr">
        <is>
          <t>深交所</t>
        </is>
      </c>
      <c r="B62" s="3" t="inlineStr">
        <is>
          <t>159919</t>
        </is>
      </c>
      <c r="C62" s="3" t="inlineStr">
        <is>
          <t>沪深300ETF嘉实</t>
        </is>
      </c>
      <c r="D62" s="23" t="n">
        <v>46288</v>
      </c>
      <c r="E62" s="3" t="n">
        <v>651891.66</v>
      </c>
      <c r="F62" s="3">
        <f>E62-E61</f>
        <v/>
      </c>
      <c r="G62" s="3">
        <f>F62/E61</f>
        <v/>
      </c>
      <c r="H62" s="3" t="n">
        <v>4081881.66</v>
      </c>
      <c r="I62" s="3">
        <f>F62/H62</f>
        <v/>
      </c>
    </row>
    <row r="63">
      <c r="A63" s="3" t="inlineStr">
        <is>
          <t>深交所</t>
        </is>
      </c>
      <c r="B63" s="3" t="inlineStr">
        <is>
          <t>159919</t>
        </is>
      </c>
      <c r="C63" s="3" t="inlineStr">
        <is>
          <t>沪深300ETF嘉实</t>
        </is>
      </c>
      <c r="D63" s="23" t="n">
        <v>46289</v>
      </c>
      <c r="E63" s="3" t="n">
        <v>656661.66</v>
      </c>
      <c r="F63" s="3">
        <f>E63-E62</f>
        <v/>
      </c>
      <c r="G63" s="3">
        <f>F63/E62</f>
        <v/>
      </c>
      <c r="H63" s="3" t="n">
        <v>4081881.66</v>
      </c>
      <c r="I63" s="3">
        <f>F63/H63</f>
        <v/>
      </c>
    </row>
    <row r="64">
      <c r="A64" s="3" t="inlineStr">
        <is>
          <t>深交所</t>
        </is>
      </c>
      <c r="B64" s="3" t="inlineStr">
        <is>
          <t>159919</t>
        </is>
      </c>
      <c r="C64" s="3" t="inlineStr">
        <is>
          <t>沪深300ETF嘉实</t>
        </is>
      </c>
      <c r="D64" s="23" t="n">
        <v>46293</v>
      </c>
      <c r="E64" s="3" t="n">
        <v>659901.66</v>
      </c>
      <c r="F64" s="3">
        <f>E64-E63</f>
        <v/>
      </c>
      <c r="G64" s="3">
        <f>F64/E63</f>
        <v/>
      </c>
      <c r="H64" s="3" t="n">
        <v>4081881.66</v>
      </c>
      <c r="I64" s="3">
        <f>F64/H64</f>
        <v/>
      </c>
    </row>
    <row r="65">
      <c r="A65" s="3" t="inlineStr">
        <is>
          <t>深交所</t>
        </is>
      </c>
      <c r="B65" s="3" t="inlineStr">
        <is>
          <t>159919</t>
        </is>
      </c>
      <c r="C65" s="3" t="inlineStr">
        <is>
          <t>沪深300ETF嘉实</t>
        </is>
      </c>
      <c r="D65" s="23" t="n">
        <v>46294</v>
      </c>
      <c r="E65" s="3" t="n">
        <v>661881.66</v>
      </c>
      <c r="F65" s="3">
        <f>E65-E64</f>
        <v/>
      </c>
      <c r="G65" s="3">
        <f>F65/E64</f>
        <v/>
      </c>
      <c r="H65" s="3" t="n">
        <v>4081881.66</v>
      </c>
      <c r="I65" s="3">
        <f>F65/H65</f>
        <v/>
      </c>
    </row>
    <row r="66">
      <c r="A66" s="3" t="inlineStr">
        <is>
          <t>深交所</t>
        </is>
      </c>
      <c r="B66" s="3" t="inlineStr">
        <is>
          <t>159919</t>
        </is>
      </c>
      <c r="C66" s="3" t="inlineStr">
        <is>
          <t>沪深300ETF嘉实</t>
        </is>
      </c>
      <c r="D66" s="23" t="n">
        <v>46295</v>
      </c>
      <c r="E66" s="3" t="n">
        <v>686631.66</v>
      </c>
      <c r="F66" s="3">
        <f>E66-E65</f>
        <v/>
      </c>
      <c r="G66" s="3">
        <f>F66/E65</f>
        <v/>
      </c>
      <c r="H66" s="3" t="n">
        <v>4081881.66</v>
      </c>
      <c r="I66" s="3">
        <f>F66/H66</f>
        <v/>
      </c>
    </row>
    <row r="67">
      <c r="A67" s="3" t="inlineStr">
        <is>
          <t>深交所</t>
        </is>
      </c>
      <c r="B67" s="3" t="inlineStr">
        <is>
          <t>159919</t>
        </is>
      </c>
      <c r="C67" s="3" t="inlineStr">
        <is>
          <t>沪深300ETF嘉实</t>
        </is>
      </c>
      <c r="D67" s="23" t="n">
        <v>46303</v>
      </c>
      <c r="E67" s="3" t="n">
        <v>687891.66</v>
      </c>
      <c r="F67" s="3">
        <f>E67-E66</f>
        <v/>
      </c>
      <c r="G67" s="3">
        <f>F67/E66</f>
        <v/>
      </c>
      <c r="H67" s="3" t="n">
        <v>4081881.66</v>
      </c>
      <c r="I67" s="3">
        <f>F67/H67</f>
        <v/>
      </c>
    </row>
    <row r="68">
      <c r="A68" s="3" t="inlineStr">
        <is>
          <t>深交所</t>
        </is>
      </c>
      <c r="B68" s="3" t="inlineStr">
        <is>
          <t>159919</t>
        </is>
      </c>
      <c r="C68" s="3" t="inlineStr">
        <is>
          <t>沪深300ETF嘉实</t>
        </is>
      </c>
      <c r="D68" s="23" t="n">
        <v>46304</v>
      </c>
      <c r="E68" s="3" t="n">
        <v>685641.66</v>
      </c>
      <c r="F68" s="3">
        <f>E68-E67</f>
        <v/>
      </c>
      <c r="G68" s="3">
        <f>F68/E67</f>
        <v/>
      </c>
      <c r="H68" s="3" t="n">
        <v>4081881.66</v>
      </c>
      <c r="I68" s="3">
        <f>F68/H68</f>
        <v/>
      </c>
    </row>
    <row r="69">
      <c r="A69" s="3" t="inlineStr">
        <is>
          <t>深交所</t>
        </is>
      </c>
      <c r="B69" s="3" t="inlineStr">
        <is>
          <t>159919</t>
        </is>
      </c>
      <c r="C69" s="3" t="inlineStr">
        <is>
          <t>沪深300ETF嘉实</t>
        </is>
      </c>
      <c r="D69" s="23" t="n">
        <v>46307</v>
      </c>
      <c r="E69" s="3" t="n">
        <v>684471.66</v>
      </c>
      <c r="F69" s="3">
        <f>E69-E68</f>
        <v/>
      </c>
      <c r="G69" s="3">
        <f>F69/E68</f>
        <v/>
      </c>
      <c r="H69" s="3" t="n">
        <v>4081881.66</v>
      </c>
      <c r="I69" s="3">
        <f>F69/H69</f>
        <v/>
      </c>
    </row>
    <row r="70">
      <c r="A70" s="3" t="inlineStr">
        <is>
          <t>深交所</t>
        </is>
      </c>
      <c r="B70" s="3" t="inlineStr">
        <is>
          <t>159919</t>
        </is>
      </c>
      <c r="C70" s="3" t="inlineStr">
        <is>
          <t>沪深300ETF嘉实</t>
        </is>
      </c>
      <c r="D70" s="23" t="n">
        <v>46308</v>
      </c>
      <c r="E70" s="3" t="n">
        <v>684831.66</v>
      </c>
      <c r="F70" s="3">
        <f>E70-E69</f>
        <v/>
      </c>
      <c r="G70" s="3">
        <f>F70/E69</f>
        <v/>
      </c>
      <c r="H70" s="3" t="n">
        <v>4081881.66</v>
      </c>
      <c r="I70" s="3">
        <f>F70/H70</f>
        <v/>
      </c>
    </row>
    <row r="71">
      <c r="A71" s="3" t="inlineStr">
        <is>
          <t>深交所</t>
        </is>
      </c>
      <c r="B71" s="3" t="inlineStr">
        <is>
          <t>159919</t>
        </is>
      </c>
      <c r="C71" s="3" t="inlineStr">
        <is>
          <t>沪深300ETF嘉实</t>
        </is>
      </c>
      <c r="D71" s="23" t="n">
        <v>46309</v>
      </c>
      <c r="E71" s="3" t="n">
        <v>683931.66</v>
      </c>
      <c r="F71" s="3">
        <f>E71-E70</f>
        <v/>
      </c>
      <c r="G71" s="3">
        <f>F71/E70</f>
        <v/>
      </c>
      <c r="H71" s="3" t="n">
        <v>4081881.66</v>
      </c>
      <c r="I71" s="3">
        <f>F71/H71</f>
        <v/>
      </c>
    </row>
    <row r="72">
      <c r="A72" s="3" t="inlineStr">
        <is>
          <t>深交所</t>
        </is>
      </c>
      <c r="B72" s="3" t="inlineStr">
        <is>
          <t>159919</t>
        </is>
      </c>
      <c r="C72" s="3" t="inlineStr">
        <is>
          <t>沪深300ETF嘉实</t>
        </is>
      </c>
      <c r="D72" s="23" t="n">
        <v>46310</v>
      </c>
      <c r="E72" s="3" t="n">
        <v>685191.66</v>
      </c>
      <c r="F72" s="3">
        <f>E72-E71</f>
        <v/>
      </c>
      <c r="G72" s="3">
        <f>F72/E71</f>
        <v/>
      </c>
      <c r="H72" s="3" t="n">
        <v>4081881.66</v>
      </c>
      <c r="I72" s="3">
        <f>F72/H72</f>
        <v/>
      </c>
    </row>
    <row r="73">
      <c r="A73" s="3" t="inlineStr">
        <is>
          <t>深交所</t>
        </is>
      </c>
      <c r="B73" s="3" t="inlineStr">
        <is>
          <t>159919</t>
        </is>
      </c>
      <c r="C73" s="3" t="inlineStr">
        <is>
          <t>沪深300ETF嘉实</t>
        </is>
      </c>
      <c r="D73" s="23" t="n">
        <v>46311</v>
      </c>
      <c r="E73" s="3" t="n">
        <v>692931.66</v>
      </c>
      <c r="F73" s="3">
        <f>E73-E72</f>
        <v/>
      </c>
      <c r="G73" s="3">
        <f>F73/E72</f>
        <v/>
      </c>
      <c r="H73" s="3" t="n">
        <v>4081881.66</v>
      </c>
      <c r="I73" s="3">
        <f>F73/H73</f>
        <v/>
      </c>
    </row>
    <row r="74">
      <c r="A74" s="3" t="inlineStr">
        <is>
          <t>深交所</t>
        </is>
      </c>
      <c r="B74" s="3" t="inlineStr">
        <is>
          <t>159919</t>
        </is>
      </c>
      <c r="C74" s="3" t="inlineStr">
        <is>
          <t>沪深300ETF嘉实</t>
        </is>
      </c>
      <c r="D74" s="23" t="n">
        <v>46314</v>
      </c>
      <c r="E74" s="3" t="n">
        <v>698601.66</v>
      </c>
      <c r="F74" s="3">
        <f>E74-E73</f>
        <v/>
      </c>
      <c r="G74" s="3">
        <f>F74/E73</f>
        <v/>
      </c>
      <c r="H74" s="3" t="n">
        <v>4081881.66</v>
      </c>
      <c r="I74" s="3">
        <f>F74/H74</f>
        <v/>
      </c>
    </row>
    <row r="75">
      <c r="A75" s="3" t="inlineStr">
        <is>
          <t>深交所</t>
        </is>
      </c>
      <c r="B75" s="3" t="inlineStr">
        <is>
          <t>159919</t>
        </is>
      </c>
      <c r="C75" s="3" t="inlineStr">
        <is>
          <t>沪深300ETF嘉实</t>
        </is>
      </c>
      <c r="D75" s="23" t="n">
        <v>46315</v>
      </c>
      <c r="E75" s="3" t="n">
        <v>734241.66</v>
      </c>
      <c r="F75" s="3">
        <f>E75-E74</f>
        <v/>
      </c>
      <c r="G75" s="3">
        <f>F75/E74</f>
        <v/>
      </c>
      <c r="H75" s="3" t="n">
        <v>4081881.66</v>
      </c>
      <c r="I75" s="3">
        <f>F75/H75</f>
        <v/>
      </c>
    </row>
    <row r="76">
      <c r="A76" s="3" t="inlineStr">
        <is>
          <t>深交所</t>
        </is>
      </c>
      <c r="B76" s="3" t="inlineStr">
        <is>
          <t>159919</t>
        </is>
      </c>
      <c r="C76" s="3" t="inlineStr">
        <is>
          <t>沪深300ETF嘉实</t>
        </is>
      </c>
      <c r="D76" s="23" t="n">
        <v>46316</v>
      </c>
      <c r="E76" s="3" t="n">
        <v>756561.66</v>
      </c>
      <c r="F76" s="3">
        <f>E76-E75</f>
        <v/>
      </c>
      <c r="G76" s="3">
        <f>F76/E75</f>
        <v/>
      </c>
      <c r="H76" s="3" t="n">
        <v>4081881.66</v>
      </c>
      <c r="I76" s="3">
        <f>F76/H76</f>
        <v/>
      </c>
    </row>
    <row r="77">
      <c r="A77" s="3" t="inlineStr">
        <is>
          <t>深交所</t>
        </is>
      </c>
      <c r="B77" s="3" t="inlineStr">
        <is>
          <t>159919</t>
        </is>
      </c>
      <c r="C77" s="3" t="inlineStr">
        <is>
          <t>沪深300ETF嘉实</t>
        </is>
      </c>
      <c r="D77" s="23" t="n">
        <v>46317</v>
      </c>
      <c r="E77" s="3" t="n">
        <v>976791.66</v>
      </c>
      <c r="F77" s="3">
        <f>E77-E76</f>
        <v/>
      </c>
      <c r="G77" s="3">
        <f>F77/E76</f>
        <v/>
      </c>
      <c r="H77" s="3" t="n">
        <v>4081881.66</v>
      </c>
      <c r="I77" s="3">
        <f>F77/H77</f>
        <v/>
      </c>
    </row>
    <row r="78">
      <c r="A78" s="3" t="inlineStr">
        <is>
          <t>深交所</t>
        </is>
      </c>
      <c r="B78" s="3" t="inlineStr">
        <is>
          <t>159919</t>
        </is>
      </c>
      <c r="C78" s="3" t="inlineStr">
        <is>
          <t>沪深300ETF嘉实</t>
        </is>
      </c>
      <c r="D78" s="23" t="n">
        <v>46318</v>
      </c>
      <c r="E78" s="3" t="n">
        <v>998751.66</v>
      </c>
      <c r="F78" s="3">
        <f>E78-E77</f>
        <v/>
      </c>
      <c r="G78" s="3">
        <f>F78/E77</f>
        <v/>
      </c>
      <c r="H78" s="3" t="n">
        <v>4081881.66</v>
      </c>
      <c r="I78" s="3">
        <f>F78/H78</f>
        <v/>
      </c>
    </row>
    <row r="79">
      <c r="A79" s="3" t="inlineStr">
        <is>
          <t>深交所</t>
        </is>
      </c>
      <c r="B79" s="3" t="inlineStr">
        <is>
          <t>159919</t>
        </is>
      </c>
      <c r="C79" s="3" t="inlineStr">
        <is>
          <t>沪深300ETF嘉实</t>
        </is>
      </c>
      <c r="D79" s="23" t="n">
        <v>46321</v>
      </c>
      <c r="E79" s="3" t="n">
        <v>1040601.66</v>
      </c>
      <c r="F79" s="3">
        <f>E79-E78</f>
        <v/>
      </c>
      <c r="G79" s="3">
        <f>F79/E78</f>
        <v/>
      </c>
      <c r="H79" s="3" t="n">
        <v>4081881.66</v>
      </c>
      <c r="I79" s="3">
        <f>F79/H79</f>
        <v/>
      </c>
    </row>
    <row r="80">
      <c r="A80" s="3" t="inlineStr">
        <is>
          <t>深交所</t>
        </is>
      </c>
      <c r="B80" s="3" t="inlineStr">
        <is>
          <t>159919</t>
        </is>
      </c>
      <c r="C80" s="3" t="inlineStr">
        <is>
          <t>沪深300ETF嘉实</t>
        </is>
      </c>
      <c r="D80" s="23" t="n">
        <v>46322</v>
      </c>
      <c r="E80" s="3" t="n">
        <v>1039611.66</v>
      </c>
      <c r="F80" s="3">
        <f>E80-E79</f>
        <v/>
      </c>
      <c r="G80" s="3">
        <f>F80/E79</f>
        <v/>
      </c>
      <c r="H80" s="3" t="n">
        <v>4081881.66</v>
      </c>
      <c r="I80" s="3">
        <f>F80/H80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1" workbookViewId="0">
      <selection activeCell="A1" sqref="A1"/>
    </sheetView>
  </sheetViews>
  <sheetFormatPr baseColWidth="8" defaultRowHeight="15"/>
  <cols>
    <col width="6.49219" customWidth="1" style="20" min="1" max="1"/>
    <col width="6.78125" customWidth="1" style="20" min="2" max="2"/>
    <col width="16.7617" customWidth="1" style="20" min="3" max="3"/>
    <col width="16.4922" customWidth="1" style="20" min="4" max="4"/>
    <col width="19.082" customWidth="1" style="20" min="5" max="5"/>
    <col width="8.29297" customWidth="1" style="20" min="6" max="6"/>
    <col width="11.8906" customWidth="1" style="17" min="7" max="7"/>
    <col width="10.0898" customWidth="1" style="20" min="8" max="8"/>
    <col width="15.4922" customWidth="1" style="20" min="9" max="9"/>
  </cols>
  <sheetData>
    <row r="1">
      <c r="A1" s="19" t="inlineStr">
        <is>
          <t>来源</t>
        </is>
      </c>
      <c r="B1" s="19" t="inlineStr">
        <is>
          <t>代码</t>
        </is>
      </c>
      <c r="C1" s="19" t="inlineStr">
        <is>
          <t>名称</t>
        </is>
      </c>
      <c r="D1" s="19" t="inlineStr">
        <is>
          <t>日期</t>
        </is>
      </c>
      <c r="E1" s="19" t="inlineStr">
        <is>
          <t>当日公示份额（万份）</t>
        </is>
      </c>
      <c r="F1" s="19" t="inlineStr">
        <is>
          <t>当日变化</t>
        </is>
      </c>
      <c r="G1" s="9" t="inlineStr">
        <is>
          <t>环比变动比例</t>
        </is>
      </c>
      <c r="H1" s="19" t="inlineStr">
        <is>
          <t>基期总份额</t>
        </is>
      </c>
      <c r="I1" s="19" t="inlineStr">
        <is>
          <t>相对基期变动比例</t>
        </is>
      </c>
    </row>
    <row r="2">
      <c r="A2" s="20" t="inlineStr">
        <is>
          <t>上交所</t>
        </is>
      </c>
      <c r="B2" s="20" t="inlineStr">
        <is>
          <t>510300</t>
        </is>
      </c>
      <c r="C2" s="20" t="inlineStr">
        <is>
          <t>沪深300etf华泰柏瑞</t>
        </is>
      </c>
      <c r="D2" s="21" t="n">
        <v>46204</v>
      </c>
      <c r="E2" s="20" t="n">
        <v>1839558.77</v>
      </c>
      <c r="H2" s="20" t="n">
        <v>8882958.77</v>
      </c>
      <c r="I2" s="17" t="inlineStr"/>
    </row>
    <row r="3">
      <c r="A3" s="20" t="inlineStr">
        <is>
          <t>上交所</t>
        </is>
      </c>
      <c r="B3" s="20" t="inlineStr">
        <is>
          <t>510300</t>
        </is>
      </c>
      <c r="C3" s="20" t="inlineStr">
        <is>
          <t>沪深300etf华泰柏瑞</t>
        </is>
      </c>
      <c r="D3" s="21" t="n">
        <v>46205</v>
      </c>
      <c r="E3" s="20" t="n">
        <v>1853238.77</v>
      </c>
      <c r="F3" s="20">
        <f>=E3-E2</f>
        <v/>
      </c>
      <c r="G3" s="17">
        <f>=F3/E2</f>
        <v/>
      </c>
      <c r="H3" s="20" t="n">
        <v>8882958.77</v>
      </c>
      <c r="I3" s="17">
        <f>=F3/H3</f>
        <v/>
      </c>
    </row>
    <row r="4">
      <c r="A4" s="20" t="inlineStr">
        <is>
          <t>上交所</t>
        </is>
      </c>
      <c r="B4" s="20" t="inlineStr">
        <is>
          <t>510300</t>
        </is>
      </c>
      <c r="C4" s="20" t="inlineStr">
        <is>
          <t>沪深300etf华泰柏瑞</t>
        </is>
      </c>
      <c r="D4" s="21" t="n">
        <v>46206</v>
      </c>
      <c r="E4" s="20" t="n">
        <v>1706988.77</v>
      </c>
      <c r="F4" s="20">
        <f>=E4-E3</f>
        <v/>
      </c>
      <c r="G4" s="17">
        <f>=F4/E3</f>
        <v/>
      </c>
      <c r="H4" s="20" t="n">
        <v>8882958.77</v>
      </c>
      <c r="I4" s="17">
        <f>=F4/H4</f>
        <v/>
      </c>
    </row>
    <row r="5">
      <c r="A5" s="20" t="inlineStr">
        <is>
          <t>上交所</t>
        </is>
      </c>
      <c r="B5" s="20" t="inlineStr">
        <is>
          <t>510300</t>
        </is>
      </c>
      <c r="C5" s="20" t="inlineStr">
        <is>
          <t>沪深300etf华泰柏瑞</t>
        </is>
      </c>
      <c r="D5" s="21" t="n">
        <v>46209</v>
      </c>
      <c r="E5" s="20" t="n">
        <v>1682148.77</v>
      </c>
      <c r="F5" s="20">
        <f>=E5-E4</f>
        <v/>
      </c>
      <c r="G5" s="17">
        <f>=F5/E4</f>
        <v/>
      </c>
      <c r="H5" s="20" t="n">
        <v>8882958.77</v>
      </c>
      <c r="I5" s="17">
        <f>=F5/H5</f>
        <v/>
      </c>
    </row>
    <row r="6">
      <c r="A6" s="20" t="inlineStr">
        <is>
          <t>上交所</t>
        </is>
      </c>
      <c r="B6" s="20" t="inlineStr">
        <is>
          <t>510300</t>
        </is>
      </c>
      <c r="C6" s="20" t="inlineStr">
        <is>
          <t>沪深300etf华泰柏瑞</t>
        </is>
      </c>
      <c r="D6" s="21" t="n">
        <v>46210</v>
      </c>
      <c r="E6" s="20" t="n">
        <v>1709418.77</v>
      </c>
      <c r="F6" s="20">
        <f>=E6-E5</f>
        <v/>
      </c>
      <c r="G6" s="17">
        <f>=F6/E5</f>
        <v/>
      </c>
      <c r="H6" s="20" t="n">
        <v>8882958.77</v>
      </c>
      <c r="I6" s="17">
        <f>=F6/H6</f>
        <v/>
      </c>
    </row>
    <row r="7">
      <c r="A7" s="20" t="inlineStr">
        <is>
          <t>上交所</t>
        </is>
      </c>
      <c r="B7" s="20" t="inlineStr">
        <is>
          <t>510300</t>
        </is>
      </c>
      <c r="C7" s="20" t="inlineStr">
        <is>
          <t>沪深300etf华泰柏瑞</t>
        </is>
      </c>
      <c r="D7" s="21" t="n">
        <v>46211</v>
      </c>
      <c r="E7" s="20" t="n">
        <v>1720308.77</v>
      </c>
      <c r="F7" s="20">
        <f>=E7-E6</f>
        <v/>
      </c>
      <c r="G7" s="17">
        <f>=F7/E6</f>
        <v/>
      </c>
      <c r="H7" s="20" t="n">
        <v>8882958.77</v>
      </c>
      <c r="I7" s="17">
        <f>=F7/H7</f>
        <v/>
      </c>
    </row>
    <row r="8">
      <c r="A8" s="20" t="inlineStr">
        <is>
          <t>上交所</t>
        </is>
      </c>
      <c r="B8" s="20" t="inlineStr">
        <is>
          <t>510300</t>
        </is>
      </c>
      <c r="C8" s="20" t="inlineStr">
        <is>
          <t>沪深300etf华泰柏瑞</t>
        </is>
      </c>
      <c r="D8" s="21" t="n">
        <v>46212</v>
      </c>
      <c r="E8" s="20" t="n">
        <v>1721478.77</v>
      </c>
      <c r="F8" s="20">
        <f>=E8-E7</f>
        <v/>
      </c>
      <c r="G8" s="17">
        <f>=F8/E7</f>
        <v/>
      </c>
      <c r="H8" s="20" t="n">
        <v>8882958.77</v>
      </c>
      <c r="I8" s="17">
        <f>=F8/H8</f>
        <v/>
      </c>
    </row>
    <row r="9">
      <c r="A9" s="20" t="inlineStr">
        <is>
          <t>上交所</t>
        </is>
      </c>
      <c r="B9" s="20" t="inlineStr">
        <is>
          <t>510300</t>
        </is>
      </c>
      <c r="C9" s="20" t="inlineStr">
        <is>
          <t>沪深300etf华泰柏瑞</t>
        </is>
      </c>
      <c r="D9" s="21" t="n">
        <v>46213</v>
      </c>
      <c r="E9" s="20" t="n">
        <v>1715718.77</v>
      </c>
      <c r="F9" s="20">
        <f>=E9-E8</f>
        <v/>
      </c>
      <c r="G9" s="17">
        <f>=F9/E8</f>
        <v/>
      </c>
      <c r="H9" s="20" t="n">
        <v>8882958.77</v>
      </c>
      <c r="I9" s="17">
        <f>=F9/H9</f>
        <v/>
      </c>
    </row>
    <row r="10">
      <c r="A10" s="20" t="inlineStr">
        <is>
          <t>上交所</t>
        </is>
      </c>
      <c r="B10" s="20" t="inlineStr">
        <is>
          <t>510300</t>
        </is>
      </c>
      <c r="C10" s="20" t="inlineStr">
        <is>
          <t>沪深300etf华泰柏瑞</t>
        </is>
      </c>
      <c r="D10" s="21" t="n">
        <v>46216</v>
      </c>
      <c r="E10" s="20" t="n">
        <v>1832088.77</v>
      </c>
      <c r="F10" s="20">
        <f>=E10-E9</f>
        <v/>
      </c>
      <c r="G10" s="17">
        <f>=F10/E9</f>
        <v/>
      </c>
      <c r="H10" s="20" t="n">
        <v>8882958.77</v>
      </c>
      <c r="I10" s="17">
        <f>=F10/H10</f>
        <v/>
      </c>
    </row>
    <row r="11">
      <c r="A11" s="20" t="inlineStr">
        <is>
          <t>上交所</t>
        </is>
      </c>
      <c r="B11" s="20" t="inlineStr">
        <is>
          <t>510300</t>
        </is>
      </c>
      <c r="C11" s="20" t="inlineStr">
        <is>
          <t>沪深300etf华泰柏瑞</t>
        </is>
      </c>
      <c r="D11" s="21" t="n">
        <v>46217</v>
      </c>
      <c r="E11" s="20" t="n">
        <v>1848198.77</v>
      </c>
      <c r="F11" s="20">
        <f>=E11-E10</f>
        <v/>
      </c>
      <c r="G11" s="17">
        <f>=F11/E10</f>
        <v/>
      </c>
      <c r="H11" s="20" t="n">
        <v>8882958.77</v>
      </c>
      <c r="I11" s="17">
        <f>=F11/H11</f>
        <v/>
      </c>
    </row>
    <row r="12">
      <c r="A12" s="20" t="inlineStr">
        <is>
          <t>上交所</t>
        </is>
      </c>
      <c r="B12" s="20" t="inlineStr">
        <is>
          <t>510300</t>
        </is>
      </c>
      <c r="C12" s="20" t="inlineStr">
        <is>
          <t>沪深300etf华泰柏瑞</t>
        </is>
      </c>
      <c r="D12" s="21" t="n">
        <v>46218</v>
      </c>
      <c r="E12" s="20" t="n">
        <v>1839558.77</v>
      </c>
      <c r="F12" s="20">
        <f>=E12-E11</f>
        <v/>
      </c>
      <c r="G12" s="17">
        <f>=F12/E11</f>
        <v/>
      </c>
      <c r="H12" s="20" t="n">
        <v>8882958.77</v>
      </c>
      <c r="I12" s="17">
        <f>=F12/H12</f>
        <v/>
      </c>
    </row>
    <row r="13">
      <c r="A13" s="20" t="inlineStr">
        <is>
          <t>上交所</t>
        </is>
      </c>
      <c r="B13" s="20" t="inlineStr">
        <is>
          <t>510300</t>
        </is>
      </c>
      <c r="C13" s="20" t="inlineStr">
        <is>
          <t>沪深300etf华泰柏瑞</t>
        </is>
      </c>
      <c r="D13" s="21" t="n">
        <v>46219</v>
      </c>
      <c r="E13" s="20" t="n">
        <v>1970148.77</v>
      </c>
      <c r="F13" s="20">
        <f>=E13-E12</f>
        <v/>
      </c>
      <c r="G13" s="17">
        <f>=F13/E12</f>
        <v/>
      </c>
      <c r="H13" s="20" t="n">
        <v>8882958.77</v>
      </c>
      <c r="I13" s="17">
        <f>=F13/H13</f>
        <v/>
      </c>
    </row>
    <row r="14">
      <c r="A14" s="20" t="inlineStr">
        <is>
          <t>上交所</t>
        </is>
      </c>
      <c r="B14" s="20" t="inlineStr">
        <is>
          <t>510300</t>
        </is>
      </c>
      <c r="C14" s="20" t="inlineStr">
        <is>
          <t>沪深300etf华泰柏瑞</t>
        </is>
      </c>
      <c r="D14" s="21" t="n">
        <v>46220</v>
      </c>
      <c r="E14" s="20" t="n">
        <v>2171658.77</v>
      </c>
      <c r="F14" s="20">
        <f>=E14-E13</f>
        <v/>
      </c>
      <c r="G14" s="17">
        <f>=F14/E13</f>
        <v/>
      </c>
      <c r="H14" s="20" t="n">
        <v>8882958.77</v>
      </c>
      <c r="I14" s="17">
        <f>=F14/H14</f>
        <v/>
      </c>
    </row>
    <row r="15">
      <c r="A15" s="20" t="inlineStr">
        <is>
          <t>上交所</t>
        </is>
      </c>
      <c r="B15" s="20" t="inlineStr">
        <is>
          <t>510300</t>
        </is>
      </c>
      <c r="C15" s="20" t="inlineStr">
        <is>
          <t>沪深300etf华泰柏瑞</t>
        </is>
      </c>
      <c r="D15" s="21" t="n">
        <v>46223</v>
      </c>
      <c r="E15" s="20" t="n">
        <v>2442198.77</v>
      </c>
      <c r="F15" s="20">
        <f>=E15-E14</f>
        <v/>
      </c>
      <c r="G15" s="17">
        <f>=F15/E14</f>
        <v/>
      </c>
      <c r="H15" s="20" t="n">
        <v>8882958.77</v>
      </c>
      <c r="I15" s="17">
        <f>=F15/H15</f>
        <v/>
      </c>
    </row>
    <row r="16">
      <c r="A16" s="20" t="inlineStr">
        <is>
          <t>上交所</t>
        </is>
      </c>
      <c r="B16" s="20" t="inlineStr">
        <is>
          <t>510300</t>
        </is>
      </c>
      <c r="C16" s="20" t="inlineStr">
        <is>
          <t>沪深300etf华泰柏瑞</t>
        </is>
      </c>
      <c r="D16" s="21" t="n">
        <v>46224</v>
      </c>
      <c r="E16" s="20" t="n">
        <v>2435718.77</v>
      </c>
      <c r="F16" s="20">
        <f>=E16-E15</f>
        <v/>
      </c>
      <c r="G16" s="17">
        <f>=F16/E15</f>
        <v/>
      </c>
      <c r="H16" s="20" t="n">
        <v>8882958.77</v>
      </c>
      <c r="I16" s="17">
        <f>=F16/H16</f>
        <v/>
      </c>
    </row>
    <row r="17">
      <c r="A17" s="20" t="inlineStr">
        <is>
          <t>上交所</t>
        </is>
      </c>
      <c r="B17" s="20" t="inlineStr">
        <is>
          <t>510300</t>
        </is>
      </c>
      <c r="C17" s="20" t="inlineStr">
        <is>
          <t>沪深300etf华泰柏瑞</t>
        </is>
      </c>
      <c r="D17" s="21" t="n">
        <v>46225</v>
      </c>
      <c r="E17" s="20" t="n">
        <v>2404488.77</v>
      </c>
      <c r="F17" s="20">
        <f>=E17-E16</f>
        <v/>
      </c>
      <c r="G17" s="17">
        <f>=F17/E16</f>
        <v/>
      </c>
      <c r="H17" s="20" t="n">
        <v>8882958.77</v>
      </c>
      <c r="I17" s="17">
        <f>=F17/H17</f>
        <v/>
      </c>
    </row>
    <row r="18">
      <c r="A18" s="20" t="inlineStr">
        <is>
          <t>上交所</t>
        </is>
      </c>
      <c r="B18" s="20" t="inlineStr">
        <is>
          <t>510300</t>
        </is>
      </c>
      <c r="C18" s="20" t="inlineStr">
        <is>
          <t>沪深300etf华泰柏瑞</t>
        </is>
      </c>
      <c r="D18" s="21" t="n">
        <v>46226</v>
      </c>
      <c r="E18" s="20" t="n">
        <v>2402688.77</v>
      </c>
      <c r="F18" s="20">
        <f>=E18-E17</f>
        <v/>
      </c>
      <c r="G18" s="17">
        <f>=F18/E17</f>
        <v/>
      </c>
      <c r="H18" s="20" t="n">
        <v>8882958.77</v>
      </c>
      <c r="I18" s="17">
        <f>=F18/H18</f>
        <v/>
      </c>
    </row>
    <row r="19">
      <c r="A19" s="20" t="inlineStr">
        <is>
          <t>上交所</t>
        </is>
      </c>
      <c r="B19" s="20" t="inlineStr">
        <is>
          <t>510300</t>
        </is>
      </c>
      <c r="C19" s="20" t="inlineStr">
        <is>
          <t>沪深300etf华泰柏瑞</t>
        </is>
      </c>
      <c r="D19" s="21" t="n">
        <v>46227</v>
      </c>
      <c r="E19" s="20" t="n">
        <v>2438058.77</v>
      </c>
      <c r="F19" s="20">
        <f>=E19-E18</f>
        <v/>
      </c>
      <c r="G19" s="17">
        <f>=F19/E18</f>
        <v/>
      </c>
      <c r="H19" s="20" t="n">
        <v>8882958.77</v>
      </c>
      <c r="I19" s="17">
        <f>=F19/H19</f>
        <v/>
      </c>
    </row>
    <row r="20">
      <c r="A20" s="20" t="inlineStr">
        <is>
          <t>上交所</t>
        </is>
      </c>
      <c r="B20" s="20" t="inlineStr">
        <is>
          <t>510300</t>
        </is>
      </c>
      <c r="C20" s="20" t="inlineStr">
        <is>
          <t>沪深300etf华泰柏瑞</t>
        </is>
      </c>
      <c r="D20" s="21" t="n">
        <v>46230</v>
      </c>
      <c r="E20" s="20" t="n">
        <v>2464158.77</v>
      </c>
      <c r="F20" s="20">
        <f>=E20-E19</f>
        <v/>
      </c>
      <c r="G20" s="17">
        <f>=F20/E19</f>
        <v/>
      </c>
      <c r="H20" s="20" t="n">
        <v>8882958.77</v>
      </c>
      <c r="I20" s="17">
        <f>=F20/H20</f>
        <v/>
      </c>
    </row>
    <row r="21">
      <c r="A21" s="20" t="inlineStr">
        <is>
          <t>上交所</t>
        </is>
      </c>
      <c r="B21" s="20" t="inlineStr">
        <is>
          <t>510300</t>
        </is>
      </c>
      <c r="C21" s="20" t="inlineStr">
        <is>
          <t>沪深300etf华泰柏瑞</t>
        </is>
      </c>
      <c r="D21" s="21" t="n">
        <v>46231</v>
      </c>
      <c r="E21" s="20" t="n">
        <v>2533458.77</v>
      </c>
      <c r="F21" s="20">
        <f>=E21-E20</f>
        <v/>
      </c>
      <c r="G21" s="17">
        <f>=F21/E20</f>
        <v/>
      </c>
      <c r="H21" s="20" t="n">
        <v>8882958.77</v>
      </c>
      <c r="I21" s="17">
        <f>=F21/H21</f>
        <v/>
      </c>
    </row>
    <row r="22">
      <c r="A22" s="20" t="inlineStr">
        <is>
          <t>上交所</t>
        </is>
      </c>
      <c r="B22" s="20" t="inlineStr">
        <is>
          <t>510300</t>
        </is>
      </c>
      <c r="C22" s="20" t="inlineStr">
        <is>
          <t>沪深300etf华泰柏瑞</t>
        </is>
      </c>
      <c r="D22" s="21" t="n">
        <v>46232</v>
      </c>
      <c r="E22" s="20" t="n">
        <v>2594748.77</v>
      </c>
      <c r="F22" s="20">
        <f>=E22-E21</f>
        <v/>
      </c>
      <c r="G22" s="17">
        <f>=F22/E21</f>
        <v/>
      </c>
      <c r="H22" s="20" t="n">
        <v>8882958.77</v>
      </c>
      <c r="I22" s="17">
        <f>=F22/H22</f>
        <v/>
      </c>
    </row>
    <row r="23">
      <c r="A23" s="20" t="inlineStr">
        <is>
          <t>上交所</t>
        </is>
      </c>
      <c r="B23" s="20" t="inlineStr">
        <is>
          <t>510300</t>
        </is>
      </c>
      <c r="C23" s="20" t="inlineStr">
        <is>
          <t>沪深300etf华泰柏瑞</t>
        </is>
      </c>
      <c r="D23" s="21" t="n">
        <v>46233</v>
      </c>
      <c r="E23" s="20" t="n">
        <v>2648388.77</v>
      </c>
      <c r="F23" s="20">
        <f>=E23-E22</f>
        <v/>
      </c>
      <c r="G23" s="17">
        <f>=F23/E22</f>
        <v/>
      </c>
      <c r="H23" s="20" t="n">
        <v>8882958.77</v>
      </c>
      <c r="I23" s="17">
        <f>=F23/H23</f>
        <v/>
      </c>
    </row>
    <row r="24">
      <c r="A24" s="20" t="inlineStr">
        <is>
          <t>上交所</t>
        </is>
      </c>
      <c r="B24" s="20" t="inlineStr">
        <is>
          <t>510300</t>
        </is>
      </c>
      <c r="C24" s="20" t="inlineStr">
        <is>
          <t>沪深300etf华泰柏瑞</t>
        </is>
      </c>
      <c r="D24" s="21" t="n">
        <v>46234</v>
      </c>
      <c r="E24" s="20" t="n">
        <v>2646678.77</v>
      </c>
      <c r="F24" s="20">
        <f>=E24-E23</f>
        <v/>
      </c>
      <c r="G24" s="17">
        <f>=F24/E23</f>
        <v/>
      </c>
      <c r="H24" s="20" t="n">
        <v>8882958.77</v>
      </c>
      <c r="I24" s="17">
        <f>=F24/H24</f>
        <v/>
      </c>
    </row>
    <row r="25">
      <c r="A25" s="20" t="inlineStr">
        <is>
          <t>上交所</t>
        </is>
      </c>
      <c r="B25" s="20" t="inlineStr">
        <is>
          <t>510300</t>
        </is>
      </c>
      <c r="C25" s="20" t="inlineStr">
        <is>
          <t>沪深300etf华泰柏瑞</t>
        </is>
      </c>
      <c r="D25" s="21" t="n">
        <v>46237</v>
      </c>
      <c r="E25" s="20" t="n">
        <v>2705808.77</v>
      </c>
      <c r="F25" s="20">
        <f>=E25-E24</f>
        <v/>
      </c>
      <c r="G25" s="20">
        <f>=F25/E24</f>
        <v/>
      </c>
      <c r="H25" s="20" t="n">
        <v>8882958.77</v>
      </c>
      <c r="I25" s="20">
        <f>=F25/H25</f>
        <v/>
      </c>
    </row>
    <row r="26">
      <c r="A26" s="3" t="inlineStr">
        <is>
          <t>上交所</t>
        </is>
      </c>
      <c r="B26" s="3" t="inlineStr">
        <is>
          <t>510300</t>
        </is>
      </c>
      <c r="C26" s="3" t="inlineStr">
        <is>
          <t>沪深300etf华泰柏瑞</t>
        </is>
      </c>
      <c r="D26" s="23" t="n">
        <v>46238</v>
      </c>
      <c r="E26" s="3" t="n">
        <v>2653068.77</v>
      </c>
      <c r="F26" s="3">
        <f>E26-E25</f>
        <v/>
      </c>
      <c r="G26" s="3">
        <f>F26/E25</f>
        <v/>
      </c>
      <c r="H26" s="3" t="n">
        <v>8882958.77</v>
      </c>
      <c r="I26" s="3">
        <f>F26/H26</f>
        <v/>
      </c>
    </row>
    <row r="27">
      <c r="A27" s="3" t="inlineStr">
        <is>
          <t>上交所</t>
        </is>
      </c>
      <c r="B27" s="3" t="inlineStr">
        <is>
          <t>510300</t>
        </is>
      </c>
      <c r="C27" s="3" t="inlineStr">
        <is>
          <t>沪深300etf华泰柏瑞</t>
        </is>
      </c>
      <c r="D27" s="23" t="n">
        <v>46239</v>
      </c>
      <c r="E27" s="3" t="n">
        <v>2593758.77</v>
      </c>
      <c r="F27" s="3">
        <f>E27-E26</f>
        <v/>
      </c>
      <c r="G27" s="3">
        <f>F27/E26</f>
        <v/>
      </c>
      <c r="H27" s="3" t="n">
        <v>8882958.77</v>
      </c>
      <c r="I27" s="3">
        <f>F27/H27</f>
        <v/>
      </c>
    </row>
    <row r="28">
      <c r="A28" s="3" t="inlineStr">
        <is>
          <t>上交所</t>
        </is>
      </c>
      <c r="B28" s="3" t="inlineStr">
        <is>
          <t>510300</t>
        </is>
      </c>
      <c r="C28" s="3" t="inlineStr">
        <is>
          <t>沪深300etf华泰柏瑞</t>
        </is>
      </c>
      <c r="D28" s="23" t="n">
        <v>46240</v>
      </c>
      <c r="E28" s="3" t="n">
        <v>2570538.77</v>
      </c>
      <c r="F28" s="3">
        <f>E28-E27</f>
        <v/>
      </c>
      <c r="G28" s="3">
        <f>F28/E27</f>
        <v/>
      </c>
      <c r="H28" s="3" t="n">
        <v>8882958.77</v>
      </c>
      <c r="I28" s="3">
        <f>F28/H28</f>
        <v/>
      </c>
    </row>
    <row r="29">
      <c r="A29" s="3" t="inlineStr">
        <is>
          <t>上交所</t>
        </is>
      </c>
      <c r="B29" s="3" t="inlineStr">
        <is>
          <t>510300</t>
        </is>
      </c>
      <c r="C29" s="3" t="inlineStr">
        <is>
          <t>沪深300etf华泰柏瑞</t>
        </is>
      </c>
      <c r="D29" s="23" t="n">
        <v>46241</v>
      </c>
      <c r="E29" s="3" t="n">
        <v>2512848.77</v>
      </c>
      <c r="F29" s="3">
        <f>E29-E28</f>
        <v/>
      </c>
      <c r="G29" s="3">
        <f>F29/E28</f>
        <v/>
      </c>
      <c r="H29" s="3" t="n">
        <v>8882958.77</v>
      </c>
      <c r="I29" s="3">
        <f>F29/H29</f>
        <v/>
      </c>
    </row>
    <row r="30">
      <c r="A30" s="3" t="inlineStr">
        <is>
          <t>上交所</t>
        </is>
      </c>
      <c r="B30" s="3" t="inlineStr">
        <is>
          <t>510300</t>
        </is>
      </c>
      <c r="C30" s="3" t="inlineStr">
        <is>
          <t>沪深300etf华泰柏瑞</t>
        </is>
      </c>
      <c r="D30" s="23" t="n">
        <v>46244</v>
      </c>
      <c r="E30" s="3" t="n">
        <v>2486118.77</v>
      </c>
      <c r="F30" s="3">
        <f>E30-E29</f>
        <v/>
      </c>
      <c r="G30" s="3">
        <f>F30/E29</f>
        <v/>
      </c>
      <c r="H30" s="3" t="n">
        <v>8882958.77</v>
      </c>
      <c r="I30" s="3">
        <f>F30/H30</f>
        <v/>
      </c>
    </row>
    <row r="31">
      <c r="A31" s="3" t="inlineStr">
        <is>
          <t>上交所</t>
        </is>
      </c>
      <c r="B31" s="3" t="inlineStr">
        <is>
          <t>510300</t>
        </is>
      </c>
      <c r="C31" s="3" t="inlineStr">
        <is>
          <t>沪深300etf华泰柏瑞</t>
        </is>
      </c>
      <c r="D31" s="23" t="n">
        <v>46245</v>
      </c>
      <c r="E31" s="3" t="n">
        <v>2482428.77</v>
      </c>
      <c r="F31" s="3">
        <f>E31-E30</f>
        <v/>
      </c>
      <c r="G31" s="3">
        <f>F31/E30</f>
        <v/>
      </c>
      <c r="H31" s="3" t="n">
        <v>8882958.77</v>
      </c>
      <c r="I31" s="3">
        <f>F31/H31</f>
        <v/>
      </c>
    </row>
    <row r="32">
      <c r="A32" s="3" t="inlineStr">
        <is>
          <t>上交所</t>
        </is>
      </c>
      <c r="B32" s="3" t="inlineStr">
        <is>
          <t>510300</t>
        </is>
      </c>
      <c r="C32" s="3" t="inlineStr">
        <is>
          <t>沪深300etf华泰柏瑞</t>
        </is>
      </c>
      <c r="D32" s="23" t="n">
        <v>46246</v>
      </c>
      <c r="E32" s="3" t="n">
        <v>2416818.77</v>
      </c>
      <c r="F32" s="3">
        <f>E32-E31</f>
        <v/>
      </c>
      <c r="G32" s="3">
        <f>F32/E31</f>
        <v/>
      </c>
      <c r="H32" s="3" t="n">
        <v>8882958.77</v>
      </c>
      <c r="I32" s="3">
        <f>F32/H32</f>
        <v/>
      </c>
    </row>
    <row r="33">
      <c r="A33" s="3" t="inlineStr">
        <is>
          <t>上交所</t>
        </is>
      </c>
      <c r="B33" s="3" t="inlineStr">
        <is>
          <t>510300</t>
        </is>
      </c>
      <c r="C33" s="3" t="inlineStr">
        <is>
          <t>沪深300etf华泰柏瑞</t>
        </is>
      </c>
      <c r="D33" s="23" t="n">
        <v>46251</v>
      </c>
      <c r="E33" s="3" t="n">
        <v>2304408.77</v>
      </c>
      <c r="F33" s="3">
        <f>E33-E32</f>
        <v/>
      </c>
      <c r="G33" s="3">
        <f>F33/E32</f>
        <v/>
      </c>
      <c r="H33" s="3" t="n">
        <v>8882958.77</v>
      </c>
      <c r="I33" s="3">
        <f>F33/H33</f>
        <v/>
      </c>
    </row>
    <row r="34">
      <c r="A34" s="3" t="inlineStr">
        <is>
          <t>上交所</t>
        </is>
      </c>
      <c r="B34" s="3" t="inlineStr">
        <is>
          <t>510300</t>
        </is>
      </c>
      <c r="C34" s="3" t="inlineStr">
        <is>
          <t>沪深300etf华泰柏瑞</t>
        </is>
      </c>
      <c r="D34" s="23" t="n">
        <v>46253</v>
      </c>
      <c r="E34" s="3" t="n">
        <v>2385858.77</v>
      </c>
      <c r="F34" s="3">
        <f>E34-E33</f>
        <v/>
      </c>
      <c r="G34" s="3">
        <f>F34/E33</f>
        <v/>
      </c>
      <c r="H34" s="3" t="n">
        <v>8882958.77</v>
      </c>
      <c r="I34" s="3">
        <f>F34/H34</f>
        <v/>
      </c>
    </row>
    <row r="35">
      <c r="A35" s="3" t="inlineStr">
        <is>
          <t>上交所</t>
        </is>
      </c>
      <c r="B35" s="3" t="inlineStr">
        <is>
          <t>510300</t>
        </is>
      </c>
      <c r="C35" s="3" t="inlineStr">
        <is>
          <t>沪深300etf华泰柏瑞</t>
        </is>
      </c>
      <c r="D35" s="23" t="n">
        <v>46254</v>
      </c>
      <c r="E35" s="3" t="n">
        <v>2374338.77</v>
      </c>
      <c r="F35" s="3">
        <f>E35-E34</f>
        <v/>
      </c>
      <c r="G35" s="3">
        <f>F35/E34</f>
        <v/>
      </c>
      <c r="H35" s="3" t="n">
        <v>8882958.77</v>
      </c>
      <c r="I35" s="3">
        <f>F35/H35</f>
        <v/>
      </c>
    </row>
    <row r="36">
      <c r="A36" s="3" t="inlineStr">
        <is>
          <t>上交所</t>
        </is>
      </c>
      <c r="B36" s="3" t="inlineStr">
        <is>
          <t>510300</t>
        </is>
      </c>
      <c r="C36" s="3" t="inlineStr">
        <is>
          <t>沪深300etf华泰柏瑞</t>
        </is>
      </c>
      <c r="D36" s="23" t="n">
        <v>46258</v>
      </c>
      <c r="E36" s="3" t="n">
        <v>2380908.77</v>
      </c>
      <c r="F36" s="3">
        <f>E36-E35</f>
        <v/>
      </c>
      <c r="G36" s="3">
        <f>F36/E35</f>
        <v/>
      </c>
      <c r="H36" s="3" t="n">
        <v>8882958.77</v>
      </c>
      <c r="I36" s="3">
        <f>F36/H36</f>
        <v/>
      </c>
    </row>
    <row r="37">
      <c r="A37" s="3" t="inlineStr">
        <is>
          <t>上交所</t>
        </is>
      </c>
      <c r="B37" s="3" t="inlineStr">
        <is>
          <t>510300</t>
        </is>
      </c>
      <c r="C37" s="3" t="inlineStr">
        <is>
          <t>沪深300etf华泰柏瑞</t>
        </is>
      </c>
      <c r="D37" s="23" t="n">
        <v>46259</v>
      </c>
      <c r="E37" s="3" t="n">
        <v>2405298.77</v>
      </c>
      <c r="F37" s="3">
        <f>E37-E36</f>
        <v/>
      </c>
      <c r="G37" s="3">
        <f>F37/E36</f>
        <v/>
      </c>
      <c r="H37" s="3" t="n">
        <v>8882958.77</v>
      </c>
      <c r="I37" s="3">
        <f>F37/H37</f>
        <v/>
      </c>
    </row>
    <row r="38">
      <c r="A38" s="3" t="inlineStr">
        <is>
          <t>上交所</t>
        </is>
      </c>
      <c r="B38" s="3" t="inlineStr">
        <is>
          <t>510300</t>
        </is>
      </c>
      <c r="C38" s="3" t="inlineStr">
        <is>
          <t>沪深300etf华泰柏瑞</t>
        </is>
      </c>
      <c r="D38" s="23" t="n">
        <v>46260</v>
      </c>
      <c r="E38" s="3" t="n">
        <v>2385318.77</v>
      </c>
      <c r="F38" s="3">
        <f>E38-E37</f>
        <v/>
      </c>
      <c r="G38" s="3">
        <f>F38/E37</f>
        <v/>
      </c>
      <c r="H38" s="3" t="n">
        <v>8882958.77</v>
      </c>
      <c r="I38" s="3">
        <f>F38/H38</f>
        <v/>
      </c>
    </row>
    <row r="39">
      <c r="A39" s="3" t="inlineStr">
        <is>
          <t>上交所</t>
        </is>
      </c>
      <c r="B39" s="3" t="inlineStr">
        <is>
          <t>510300</t>
        </is>
      </c>
      <c r="C39" s="3" t="inlineStr">
        <is>
          <t>沪深300etf华泰柏瑞</t>
        </is>
      </c>
      <c r="D39" s="23" t="n">
        <v>46262</v>
      </c>
      <c r="E39" s="3" t="n">
        <v>2329518.77</v>
      </c>
      <c r="F39" s="3">
        <f>E39-E38</f>
        <v/>
      </c>
      <c r="G39" s="3">
        <f>F39/E38</f>
        <v/>
      </c>
      <c r="H39" s="3" t="n">
        <v>8882958.77</v>
      </c>
      <c r="I39" s="3">
        <f>F39/H39</f>
        <v/>
      </c>
    </row>
    <row r="40">
      <c r="A40" s="3" t="inlineStr">
        <is>
          <t>上交所</t>
        </is>
      </c>
      <c r="B40" s="3" t="inlineStr">
        <is>
          <t>510300</t>
        </is>
      </c>
      <c r="C40" s="3" t="inlineStr">
        <is>
          <t>沪深300etf华泰柏瑞</t>
        </is>
      </c>
      <c r="D40" s="23" t="n">
        <v>46265</v>
      </c>
      <c r="E40" s="3" t="n">
        <v>2350398.77</v>
      </c>
      <c r="F40" s="3">
        <f>E40-E39</f>
        <v/>
      </c>
      <c r="G40" s="3">
        <f>F40/E39</f>
        <v/>
      </c>
      <c r="H40" s="3" t="n">
        <v>8882958.77</v>
      </c>
      <c r="I40" s="3">
        <f>F40/H40</f>
        <v/>
      </c>
    </row>
    <row r="41">
      <c r="A41" s="3" t="inlineStr">
        <is>
          <t>上交所</t>
        </is>
      </c>
      <c r="B41" s="3" t="inlineStr">
        <is>
          <t>510300</t>
        </is>
      </c>
      <c r="C41" s="3" t="inlineStr">
        <is>
          <t>沪深300etf华泰柏瑞</t>
        </is>
      </c>
      <c r="D41" s="23" t="n">
        <v>46266</v>
      </c>
      <c r="E41" s="3" t="n">
        <v>2299998.77</v>
      </c>
      <c r="F41" s="3">
        <f>E41-E40</f>
        <v/>
      </c>
      <c r="G41" s="3">
        <f>F41/E40</f>
        <v/>
      </c>
      <c r="H41" s="3" t="n">
        <v>8882958.77</v>
      </c>
      <c r="I41" s="3">
        <f>F41/H41</f>
        <v/>
      </c>
    </row>
    <row r="42">
      <c r="A42" s="3" t="inlineStr">
        <is>
          <t>上交所</t>
        </is>
      </c>
      <c r="B42" s="3" t="inlineStr">
        <is>
          <t>510300</t>
        </is>
      </c>
      <c r="C42" s="3" t="inlineStr">
        <is>
          <t>沪深300etf华泰柏瑞</t>
        </is>
      </c>
      <c r="D42" s="23" t="n">
        <v>46267</v>
      </c>
      <c r="E42" s="3" t="n">
        <v>2295678.77</v>
      </c>
      <c r="F42" s="3">
        <f>E42-E41</f>
        <v/>
      </c>
      <c r="G42" s="3">
        <f>F42/E41</f>
        <v/>
      </c>
      <c r="H42" s="3" t="n">
        <v>8882958.77</v>
      </c>
      <c r="I42" s="3">
        <f>F42/H42</f>
        <v/>
      </c>
    </row>
    <row r="43">
      <c r="A43" s="3" t="inlineStr">
        <is>
          <t>上交所</t>
        </is>
      </c>
      <c r="B43" s="3" t="inlineStr">
        <is>
          <t>510300</t>
        </is>
      </c>
      <c r="C43" s="3" t="inlineStr">
        <is>
          <t>沪深300etf华泰柏瑞</t>
        </is>
      </c>
      <c r="D43" s="23" t="n">
        <v>46268</v>
      </c>
      <c r="E43" s="3" t="n">
        <v>2312058.77</v>
      </c>
      <c r="F43" s="3">
        <f>E43-E42</f>
        <v/>
      </c>
      <c r="G43" s="3">
        <f>F43/E42</f>
        <v/>
      </c>
      <c r="H43" s="3" t="n">
        <v>8882958.77</v>
      </c>
      <c r="I43" s="3">
        <f>F43/H43</f>
        <v/>
      </c>
    </row>
    <row r="44">
      <c r="A44" s="3" t="inlineStr">
        <is>
          <t>上交所</t>
        </is>
      </c>
      <c r="B44" s="3" t="inlineStr">
        <is>
          <t>510300</t>
        </is>
      </c>
      <c r="C44" s="3" t="inlineStr">
        <is>
          <t>沪深300etf华泰柏瑞</t>
        </is>
      </c>
      <c r="D44" s="23" t="n">
        <v>46269</v>
      </c>
      <c r="E44" s="3" t="n">
        <v>2337708.77</v>
      </c>
      <c r="F44" s="3">
        <f>E44-E43</f>
        <v/>
      </c>
      <c r="G44" s="3">
        <f>F44/E43</f>
        <v/>
      </c>
      <c r="H44" s="3" t="n">
        <v>8882958.77</v>
      </c>
      <c r="I44" s="3">
        <f>F44/H44</f>
        <v/>
      </c>
    </row>
    <row r="45">
      <c r="A45" s="3" t="inlineStr">
        <is>
          <t>上交所</t>
        </is>
      </c>
      <c r="B45" s="3" t="inlineStr">
        <is>
          <t>510300</t>
        </is>
      </c>
      <c r="C45" s="3" t="inlineStr">
        <is>
          <t>沪深300etf华泰柏瑞</t>
        </is>
      </c>
      <c r="D45" s="23" t="n">
        <v>46272</v>
      </c>
      <c r="E45" s="3" t="n">
        <v>2364888.77</v>
      </c>
      <c r="F45" s="3">
        <f>E45-E44</f>
        <v/>
      </c>
      <c r="G45" s="3">
        <f>F45/E44</f>
        <v/>
      </c>
      <c r="H45" s="3" t="n">
        <v>8882958.77</v>
      </c>
      <c r="I45" s="3">
        <f>F45/H45</f>
        <v/>
      </c>
    </row>
    <row r="46">
      <c r="A46" s="3" t="inlineStr">
        <is>
          <t>上交所</t>
        </is>
      </c>
      <c r="B46" s="3" t="inlineStr">
        <is>
          <t>510300</t>
        </is>
      </c>
      <c r="C46" s="3" t="inlineStr">
        <is>
          <t>沪深300etf华泰柏瑞</t>
        </is>
      </c>
      <c r="D46" s="23" t="n">
        <v>46273</v>
      </c>
      <c r="E46" s="3" t="n">
        <v>2346888.77</v>
      </c>
      <c r="F46" s="3">
        <f>E46-E45</f>
        <v/>
      </c>
      <c r="G46" s="3">
        <f>F46/E45</f>
        <v/>
      </c>
      <c r="H46" s="3" t="n">
        <v>8882958.77</v>
      </c>
      <c r="I46" s="3">
        <f>F46/H46</f>
        <v/>
      </c>
    </row>
    <row r="47">
      <c r="A47" s="3" t="inlineStr">
        <is>
          <t>上交所</t>
        </is>
      </c>
      <c r="B47" s="3" t="inlineStr">
        <is>
          <t>510300</t>
        </is>
      </c>
      <c r="C47" s="3" t="inlineStr">
        <is>
          <t>沪深300etf华泰柏瑞</t>
        </is>
      </c>
      <c r="D47" s="23" t="n">
        <v>46274</v>
      </c>
      <c r="E47" s="3" t="n">
        <v>2318538.77</v>
      </c>
      <c r="F47" s="3">
        <f>E47-E46</f>
        <v/>
      </c>
      <c r="G47" s="3">
        <f>F47/E46</f>
        <v/>
      </c>
      <c r="H47" s="3" t="n">
        <v>8882958.77</v>
      </c>
      <c r="I47" s="3">
        <f>F47/H47</f>
        <v/>
      </c>
    </row>
    <row r="48">
      <c r="A48" s="3" t="inlineStr">
        <is>
          <t>上交所</t>
        </is>
      </c>
      <c r="B48" s="3" t="inlineStr">
        <is>
          <t>510300</t>
        </is>
      </c>
      <c r="C48" s="3" t="inlineStr">
        <is>
          <t>沪深300etf华泰柏瑞</t>
        </is>
      </c>
      <c r="D48" s="23" t="n">
        <v>46275</v>
      </c>
      <c r="E48" s="3" t="n">
        <v>2319078.77</v>
      </c>
      <c r="F48" s="3">
        <f>E48-E47</f>
        <v/>
      </c>
      <c r="G48" s="3">
        <f>F48/E47</f>
        <v/>
      </c>
      <c r="H48" s="3" t="n">
        <v>8882958.77</v>
      </c>
      <c r="I48" s="3">
        <f>F48/H48</f>
        <v/>
      </c>
    </row>
    <row r="49">
      <c r="A49" s="3" t="inlineStr">
        <is>
          <t>上交所</t>
        </is>
      </c>
      <c r="B49" s="3" t="inlineStr">
        <is>
          <t>510300</t>
        </is>
      </c>
      <c r="C49" s="3" t="inlineStr">
        <is>
          <t>沪深300etf华泰柏瑞</t>
        </is>
      </c>
      <c r="D49" s="23" t="n">
        <v>46276</v>
      </c>
      <c r="E49" s="3" t="n">
        <v>2339868.77</v>
      </c>
      <c r="F49" s="3">
        <f>E49-E48</f>
        <v/>
      </c>
      <c r="G49" s="3">
        <f>F49/E48</f>
        <v/>
      </c>
      <c r="H49" s="3" t="n">
        <v>8882958.77</v>
      </c>
      <c r="I49" s="3">
        <f>F49/H49</f>
        <v/>
      </c>
    </row>
    <row r="50">
      <c r="A50" s="3" t="inlineStr">
        <is>
          <t>上交所</t>
        </is>
      </c>
      <c r="B50" s="3" t="inlineStr">
        <is>
          <t>510300</t>
        </is>
      </c>
      <c r="C50" s="3" t="inlineStr">
        <is>
          <t>沪深300etf华泰柏瑞</t>
        </is>
      </c>
      <c r="D50" s="23" t="n">
        <v>46279</v>
      </c>
      <c r="E50" s="3" t="n">
        <v>2340318.77</v>
      </c>
      <c r="F50" s="3">
        <f>E50-E49</f>
        <v/>
      </c>
      <c r="G50" s="3">
        <f>F50/E49</f>
        <v/>
      </c>
      <c r="H50" s="3" t="n">
        <v>8882958.77</v>
      </c>
      <c r="I50" s="3">
        <f>F50/H50</f>
        <v/>
      </c>
    </row>
    <row r="51">
      <c r="A51" s="3" t="inlineStr">
        <is>
          <t>上交所</t>
        </is>
      </c>
      <c r="B51" s="3" t="inlineStr">
        <is>
          <t>510300</t>
        </is>
      </c>
      <c r="C51" s="3" t="inlineStr">
        <is>
          <t>沪深300etf华泰柏瑞</t>
        </is>
      </c>
      <c r="D51" s="23" t="n">
        <v>46280</v>
      </c>
      <c r="E51" s="3" t="n">
        <v>2354268.77</v>
      </c>
      <c r="F51" s="3">
        <f>E51-E50</f>
        <v/>
      </c>
      <c r="G51" s="3">
        <f>F51/E50</f>
        <v/>
      </c>
      <c r="H51" s="3" t="n">
        <v>8882958.77</v>
      </c>
      <c r="I51" s="3">
        <f>F51/H51</f>
        <v/>
      </c>
    </row>
    <row r="52">
      <c r="A52" s="3" t="inlineStr">
        <is>
          <t>上交所</t>
        </is>
      </c>
      <c r="B52" s="3" t="inlineStr">
        <is>
          <t>510300</t>
        </is>
      </c>
      <c r="C52" s="3" t="inlineStr">
        <is>
          <t>沪深300etf华泰柏瑞</t>
        </is>
      </c>
      <c r="D52" s="23" t="n">
        <v>46282</v>
      </c>
      <c r="E52" s="3" t="n">
        <v>2370108.77</v>
      </c>
      <c r="F52" s="3">
        <f>E52-E51</f>
        <v/>
      </c>
      <c r="G52" s="3">
        <f>F52/E51</f>
        <v/>
      </c>
      <c r="H52" s="3" t="n">
        <v>8882958.77</v>
      </c>
      <c r="I52" s="3">
        <f>F52/H52</f>
        <v/>
      </c>
    </row>
    <row r="53">
      <c r="A53" s="3" t="inlineStr">
        <is>
          <t>上交所</t>
        </is>
      </c>
      <c r="B53" s="3" t="inlineStr">
        <is>
          <t>510300</t>
        </is>
      </c>
      <c r="C53" s="3" t="inlineStr">
        <is>
          <t>沪深300etf华泰柏瑞</t>
        </is>
      </c>
      <c r="D53" s="23" t="n">
        <v>46283</v>
      </c>
      <c r="E53" s="3" t="n">
        <v>2365968.77</v>
      </c>
      <c r="F53" s="3">
        <f>E53-E52</f>
        <v/>
      </c>
      <c r="G53" s="3">
        <f>F53/E52</f>
        <v/>
      </c>
      <c r="H53" s="3" t="n">
        <v>8882958.77</v>
      </c>
      <c r="I53" s="3">
        <f>F53/H53</f>
        <v/>
      </c>
    </row>
    <row r="54">
      <c r="A54" s="3" t="inlineStr">
        <is>
          <t>上交所</t>
        </is>
      </c>
      <c r="B54" s="3" t="inlineStr">
        <is>
          <t>510300</t>
        </is>
      </c>
      <c r="C54" s="3" t="inlineStr">
        <is>
          <t>沪深300etf华泰柏瑞</t>
        </is>
      </c>
      <c r="D54" s="23" t="n">
        <v>46286</v>
      </c>
      <c r="E54" s="3" t="n">
        <v>2371368.77</v>
      </c>
      <c r="F54" s="3">
        <f>E54-E53</f>
        <v/>
      </c>
      <c r="G54" s="3">
        <f>F54/E53</f>
        <v/>
      </c>
      <c r="H54" s="3" t="n">
        <v>8882958.77</v>
      </c>
      <c r="I54" s="3">
        <f>F54/H54</f>
        <v/>
      </c>
    </row>
    <row r="55">
      <c r="A55" s="3" t="inlineStr">
        <is>
          <t>上交所</t>
        </is>
      </c>
      <c r="B55" s="3" t="inlineStr">
        <is>
          <t>510300</t>
        </is>
      </c>
      <c r="C55" s="3" t="inlineStr">
        <is>
          <t>沪深300etf华泰柏瑞</t>
        </is>
      </c>
      <c r="D55" s="23" t="n">
        <v>46287</v>
      </c>
      <c r="E55" s="3" t="n">
        <v>2373798.77</v>
      </c>
      <c r="F55" s="3">
        <f>E55-E54</f>
        <v/>
      </c>
      <c r="G55" s="3">
        <f>F55/E54</f>
        <v/>
      </c>
      <c r="H55" s="3" t="n">
        <v>8882958.77</v>
      </c>
      <c r="I55" s="3">
        <f>F55/H55</f>
        <v/>
      </c>
    </row>
    <row r="56">
      <c r="A56" s="3" t="inlineStr">
        <is>
          <t>上交所</t>
        </is>
      </c>
      <c r="B56" s="3" t="inlineStr">
        <is>
          <t>510300</t>
        </is>
      </c>
      <c r="C56" s="3" t="inlineStr">
        <is>
          <t>沪深300etf华泰柏瑞</t>
        </is>
      </c>
      <c r="D56" s="23" t="n">
        <v>46288</v>
      </c>
      <c r="E56" s="3" t="n">
        <v>2400528.77</v>
      </c>
      <c r="F56" s="3">
        <f>E56-E55</f>
        <v/>
      </c>
      <c r="G56" s="3">
        <f>F56/E55</f>
        <v/>
      </c>
      <c r="H56" s="3" t="n">
        <v>8882958.77</v>
      </c>
      <c r="I56" s="3">
        <f>F56/H56</f>
        <v/>
      </c>
    </row>
    <row r="57">
      <c r="A57" s="3" t="inlineStr">
        <is>
          <t>上交所</t>
        </is>
      </c>
      <c r="B57" s="3" t="inlineStr">
        <is>
          <t>510300</t>
        </is>
      </c>
      <c r="C57" s="3" t="inlineStr">
        <is>
          <t>沪深300etf华泰柏瑞</t>
        </is>
      </c>
      <c r="D57" s="23" t="n">
        <v>46289</v>
      </c>
      <c r="E57" s="3" t="n">
        <v>2390448.77</v>
      </c>
      <c r="F57" s="3">
        <f>E57-E56</f>
        <v/>
      </c>
      <c r="G57" s="3">
        <f>F57/E56</f>
        <v/>
      </c>
      <c r="H57" s="3" t="n">
        <v>8882958.77</v>
      </c>
      <c r="I57" s="3">
        <f>F57/H57</f>
        <v/>
      </c>
    </row>
    <row r="58">
      <c r="A58" s="3" t="inlineStr">
        <is>
          <t>上交所</t>
        </is>
      </c>
      <c r="B58" s="3" t="inlineStr">
        <is>
          <t>510300</t>
        </is>
      </c>
      <c r="C58" s="3" t="inlineStr">
        <is>
          <t>沪深300etf华泰柏瑞</t>
        </is>
      </c>
      <c r="D58" s="23" t="n">
        <v>46293</v>
      </c>
      <c r="E58" s="3" t="n">
        <v>2417808.77</v>
      </c>
      <c r="F58" s="3">
        <f>E58-E57</f>
        <v/>
      </c>
      <c r="G58" s="3">
        <f>F58/E57</f>
        <v/>
      </c>
      <c r="H58" s="3" t="n">
        <v>8882958.77</v>
      </c>
      <c r="I58" s="3">
        <f>F58/H58</f>
        <v/>
      </c>
    </row>
    <row r="59">
      <c r="A59" s="3" t="inlineStr">
        <is>
          <t>上交所</t>
        </is>
      </c>
      <c r="B59" s="3" t="inlineStr">
        <is>
          <t>510300</t>
        </is>
      </c>
      <c r="C59" s="3" t="inlineStr">
        <is>
          <t>沪深300etf华泰柏瑞</t>
        </is>
      </c>
      <c r="D59" s="23" t="n">
        <v>46294</v>
      </c>
      <c r="E59" s="3" t="n">
        <v>2416458.77</v>
      </c>
      <c r="F59" s="3">
        <f>E59-E58</f>
        <v/>
      </c>
      <c r="G59" s="3">
        <f>F59/E58</f>
        <v/>
      </c>
      <c r="H59" s="3" t="n">
        <v>8882958.77</v>
      </c>
      <c r="I59" s="3">
        <f>F59/H59</f>
        <v/>
      </c>
    </row>
    <row r="60">
      <c r="A60" s="3" t="inlineStr">
        <is>
          <t>上交所</t>
        </is>
      </c>
      <c r="B60" s="3" t="inlineStr">
        <is>
          <t>510300</t>
        </is>
      </c>
      <c r="C60" s="3" t="inlineStr">
        <is>
          <t>沪深300etf华泰柏瑞</t>
        </is>
      </c>
      <c r="D60" s="23" t="n">
        <v>46295</v>
      </c>
      <c r="E60" s="3" t="n">
        <v>2411958.77</v>
      </c>
      <c r="F60" s="3">
        <f>E60-E59</f>
        <v/>
      </c>
      <c r="G60" s="3">
        <f>F60/E59</f>
        <v/>
      </c>
      <c r="H60" s="3" t="n">
        <v>8882958.77</v>
      </c>
      <c r="I60" s="3">
        <f>F60/H60</f>
        <v/>
      </c>
    </row>
    <row r="61">
      <c r="A61" s="3" t="inlineStr">
        <is>
          <t>上交所</t>
        </is>
      </c>
      <c r="B61" s="3" t="inlineStr">
        <is>
          <t>510300</t>
        </is>
      </c>
      <c r="C61" s="3" t="inlineStr">
        <is>
          <t>沪深300etf华泰柏瑞</t>
        </is>
      </c>
      <c r="D61" s="23" t="n">
        <v>46303</v>
      </c>
      <c r="E61" s="3" t="n">
        <v>2406378.77</v>
      </c>
      <c r="F61" s="3">
        <f>E61-E60</f>
        <v/>
      </c>
      <c r="G61" s="3">
        <f>F61/E60</f>
        <v/>
      </c>
      <c r="H61" s="3" t="n">
        <v>8882958.77</v>
      </c>
      <c r="I61" s="3">
        <f>F61/H61</f>
        <v/>
      </c>
    </row>
    <row r="62">
      <c r="A62" s="3" t="inlineStr">
        <is>
          <t>上交所</t>
        </is>
      </c>
      <c r="B62" s="3" t="inlineStr">
        <is>
          <t>510300</t>
        </is>
      </c>
      <c r="C62" s="3" t="inlineStr">
        <is>
          <t>沪深300etf华泰柏瑞</t>
        </is>
      </c>
      <c r="D62" s="23" t="n">
        <v>46304</v>
      </c>
      <c r="E62" s="3" t="n">
        <v>2439228.77</v>
      </c>
      <c r="F62" s="3">
        <f>E62-E61</f>
        <v/>
      </c>
      <c r="G62" s="3">
        <f>F62/E61</f>
        <v/>
      </c>
      <c r="H62" s="3" t="n">
        <v>8882958.77</v>
      </c>
      <c r="I62" s="3">
        <f>F62/H62</f>
        <v/>
      </c>
    </row>
    <row r="63">
      <c r="A63" s="3" t="inlineStr">
        <is>
          <t>上交所</t>
        </is>
      </c>
      <c r="B63" s="3" t="inlineStr">
        <is>
          <t>510300</t>
        </is>
      </c>
      <c r="C63" s="3" t="inlineStr">
        <is>
          <t>沪深300etf华泰柏瑞</t>
        </is>
      </c>
      <c r="D63" s="23" t="n">
        <v>46307</v>
      </c>
      <c r="E63" s="3" t="n">
        <v>2452998.77</v>
      </c>
      <c r="F63" s="3">
        <f>E63-E62</f>
        <v/>
      </c>
      <c r="G63" s="3">
        <f>F63/E62</f>
        <v/>
      </c>
      <c r="H63" s="3" t="n">
        <v>8882958.77</v>
      </c>
      <c r="I63" s="3">
        <f>F63/H63</f>
        <v/>
      </c>
    </row>
    <row r="64">
      <c r="A64" s="3" t="inlineStr">
        <is>
          <t>上交所</t>
        </is>
      </c>
      <c r="B64" s="3" t="inlineStr">
        <is>
          <t>510300</t>
        </is>
      </c>
      <c r="C64" s="3" t="inlineStr">
        <is>
          <t>沪深300etf华泰柏瑞</t>
        </is>
      </c>
      <c r="D64" s="23" t="n">
        <v>46308</v>
      </c>
      <c r="E64" s="3" t="n">
        <v>2489718.77</v>
      </c>
      <c r="F64" s="3">
        <f>E64-E63</f>
        <v/>
      </c>
      <c r="G64" s="3">
        <f>F64/E63</f>
        <v/>
      </c>
      <c r="H64" s="3" t="n">
        <v>8882958.77</v>
      </c>
      <c r="I64" s="3">
        <f>F64/H64</f>
        <v/>
      </c>
    </row>
    <row r="65">
      <c r="A65" s="3" t="inlineStr">
        <is>
          <t>上交所</t>
        </is>
      </c>
      <c r="B65" s="3" t="inlineStr">
        <is>
          <t>510300</t>
        </is>
      </c>
      <c r="C65" s="3" t="inlineStr">
        <is>
          <t>沪深300etf华泰柏瑞</t>
        </is>
      </c>
      <c r="D65" s="23" t="n">
        <v>46309</v>
      </c>
      <c r="E65" s="3" t="n">
        <v>2469018.77</v>
      </c>
      <c r="F65" s="3">
        <f>E65-E64</f>
        <v/>
      </c>
      <c r="G65" s="3">
        <f>F65/E64</f>
        <v/>
      </c>
      <c r="H65" s="3" t="n">
        <v>8882958.77</v>
      </c>
      <c r="I65" s="3">
        <f>F65/H65</f>
        <v/>
      </c>
    </row>
    <row r="66">
      <c r="A66" s="3" t="inlineStr">
        <is>
          <t>上交所</t>
        </is>
      </c>
      <c r="B66" s="3" t="inlineStr">
        <is>
          <t>510300</t>
        </is>
      </c>
      <c r="C66" s="3" t="inlineStr">
        <is>
          <t>沪深300etf华泰柏瑞</t>
        </is>
      </c>
      <c r="D66" s="23" t="n">
        <v>46310</v>
      </c>
      <c r="E66" s="3" t="n">
        <v>2548488.77</v>
      </c>
      <c r="F66" s="3">
        <f>E66-E65</f>
        <v/>
      </c>
      <c r="G66" s="3">
        <f>F66/E65</f>
        <v/>
      </c>
      <c r="H66" s="3" t="n">
        <v>8882958.77</v>
      </c>
      <c r="I66" s="3">
        <f>F66/H66</f>
        <v/>
      </c>
    </row>
    <row r="67">
      <c r="A67" s="3" t="inlineStr">
        <is>
          <t>上交所</t>
        </is>
      </c>
      <c r="B67" s="3" t="inlineStr">
        <is>
          <t>510300</t>
        </is>
      </c>
      <c r="C67" s="3" t="inlineStr">
        <is>
          <t>沪深300etf华泰柏瑞</t>
        </is>
      </c>
      <c r="D67" s="23" t="n">
        <v>46311</v>
      </c>
      <c r="E67" s="3" t="n">
        <v>2855298.77</v>
      </c>
      <c r="F67" s="3">
        <f>E67-E66</f>
        <v/>
      </c>
      <c r="G67" s="3">
        <f>F67/E66</f>
        <v/>
      </c>
      <c r="H67" s="3" t="n">
        <v>8882958.77</v>
      </c>
      <c r="I67" s="3">
        <f>F67/H67</f>
        <v/>
      </c>
    </row>
    <row r="68">
      <c r="A68" s="3" t="inlineStr">
        <is>
          <t>上交所</t>
        </is>
      </c>
      <c r="B68" s="3" t="inlineStr">
        <is>
          <t>510300</t>
        </is>
      </c>
      <c r="C68" s="3" t="inlineStr">
        <is>
          <t>沪深300etf华泰柏瑞</t>
        </is>
      </c>
      <c r="D68" s="23" t="n">
        <v>46314</v>
      </c>
      <c r="E68" s="3" t="n">
        <v>2919558.77</v>
      </c>
      <c r="F68" s="3">
        <f>E68-E67</f>
        <v/>
      </c>
      <c r="G68" s="3">
        <f>F68/E67</f>
        <v/>
      </c>
      <c r="H68" s="3" t="n">
        <v>8882958.77</v>
      </c>
      <c r="I68" s="3">
        <f>F68/H68</f>
        <v/>
      </c>
    </row>
    <row r="69">
      <c r="A69" s="3" t="inlineStr">
        <is>
          <t>上交所</t>
        </is>
      </c>
      <c r="B69" s="3" t="inlineStr">
        <is>
          <t>510300</t>
        </is>
      </c>
      <c r="C69" s="3" t="inlineStr">
        <is>
          <t>沪深300etf华泰柏瑞</t>
        </is>
      </c>
      <c r="D69" s="23" t="n">
        <v>46315</v>
      </c>
      <c r="E69" s="3" t="n">
        <v>2940078.77</v>
      </c>
      <c r="F69" s="3">
        <f>E69-E68</f>
        <v/>
      </c>
      <c r="G69" s="3">
        <f>F69/E68</f>
        <v/>
      </c>
      <c r="H69" s="3" t="n">
        <v>8882958.77</v>
      </c>
      <c r="I69" s="3">
        <f>F69/H69</f>
        <v/>
      </c>
    </row>
    <row r="70">
      <c r="A70" s="3" t="inlineStr">
        <is>
          <t>上交所</t>
        </is>
      </c>
      <c r="B70" s="3" t="inlineStr">
        <is>
          <t>510300</t>
        </is>
      </c>
      <c r="C70" s="3" t="inlineStr">
        <is>
          <t>沪深300etf华泰柏瑞</t>
        </is>
      </c>
      <c r="D70" s="23" t="n">
        <v>46316</v>
      </c>
      <c r="E70" s="3" t="n">
        <v>3019908.77</v>
      </c>
      <c r="F70" s="3">
        <f>E70-E69</f>
        <v/>
      </c>
      <c r="G70" s="3">
        <f>F70/E69</f>
        <v/>
      </c>
      <c r="H70" s="3" t="n">
        <v>8882958.77</v>
      </c>
      <c r="I70" s="3">
        <f>F70/H70</f>
        <v/>
      </c>
    </row>
    <row r="71">
      <c r="A71" s="3" t="inlineStr">
        <is>
          <t>上交所</t>
        </is>
      </c>
      <c r="B71" s="3" t="inlineStr">
        <is>
          <t>510300</t>
        </is>
      </c>
      <c r="C71" s="3" t="inlineStr">
        <is>
          <t>沪深300etf华泰柏瑞</t>
        </is>
      </c>
      <c r="D71" s="23" t="n">
        <v>46317</v>
      </c>
      <c r="E71" s="3" t="n">
        <v>3272988.77</v>
      </c>
      <c r="F71" s="3">
        <f>E71-E70</f>
        <v/>
      </c>
      <c r="G71" s="3">
        <f>F71/E70</f>
        <v/>
      </c>
      <c r="H71" s="3" t="n">
        <v>8882958.77</v>
      </c>
      <c r="I71" s="3">
        <f>F71/H71</f>
        <v/>
      </c>
    </row>
    <row r="72">
      <c r="A72" s="3" t="inlineStr">
        <is>
          <t>上交所</t>
        </is>
      </c>
      <c r="B72" s="3" t="inlineStr">
        <is>
          <t>510300</t>
        </is>
      </c>
      <c r="C72" s="3" t="inlineStr">
        <is>
          <t>沪深300etf华泰柏瑞</t>
        </is>
      </c>
      <c r="D72" s="23" t="n">
        <v>46318</v>
      </c>
      <c r="E72" s="3" t="n">
        <v>3524268.77</v>
      </c>
      <c r="F72" s="3">
        <f>E72-E71</f>
        <v/>
      </c>
      <c r="G72" s="3">
        <f>F72/E71</f>
        <v/>
      </c>
      <c r="H72" s="3" t="n">
        <v>8882958.77</v>
      </c>
      <c r="I72" s="3">
        <f>F72/H72</f>
        <v/>
      </c>
    </row>
    <row r="73">
      <c r="A73" s="3" t="inlineStr">
        <is>
          <t>上交所</t>
        </is>
      </c>
      <c r="B73" s="3" t="inlineStr">
        <is>
          <t>510300</t>
        </is>
      </c>
      <c r="C73" s="3" t="inlineStr">
        <is>
          <t>沪深300etf华泰柏瑞</t>
        </is>
      </c>
      <c r="D73" s="23" t="n">
        <v>46321</v>
      </c>
      <c r="E73" s="3" t="n">
        <v>3544698.77</v>
      </c>
      <c r="F73" s="3">
        <f>E73-E72</f>
        <v/>
      </c>
      <c r="G73" s="3">
        <f>F73/E72</f>
        <v/>
      </c>
      <c r="H73" s="3" t="n">
        <v>8882958.77</v>
      </c>
      <c r="I73" s="3">
        <f>F73/H73</f>
        <v/>
      </c>
    </row>
    <row r="74">
      <c r="A74" s="3" t="inlineStr">
        <is>
          <t>上交所</t>
        </is>
      </c>
      <c r="B74" s="3" t="inlineStr">
        <is>
          <t>510300</t>
        </is>
      </c>
      <c r="C74" s="3" t="inlineStr">
        <is>
          <t>沪深300etf华泰柏瑞</t>
        </is>
      </c>
      <c r="D74" s="23" t="n">
        <v>46322</v>
      </c>
      <c r="E74" s="3" t="n">
        <v>3623808.77</v>
      </c>
      <c r="F74" s="3">
        <f>E74-E73</f>
        <v/>
      </c>
      <c r="G74" s="3">
        <f>F74/E73</f>
        <v/>
      </c>
      <c r="H74" s="3" t="n">
        <v>8882958.77</v>
      </c>
      <c r="I74" s="3">
        <f>F74/H74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总结">
    <tabColor rgb="FF000000"/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13" defaultRowHeight="18" customHeight="1"/>
  <cols>
    <col width="11.8906" customWidth="1" style="20" min="8" max="8"/>
    <col width="18.2812" customWidth="1" style="20" min="9" max="9"/>
  </cols>
  <sheetData>
    <row r="1">
      <c r="A1" s="19" t="inlineStr">
        <is>
          <t>代码</t>
        </is>
      </c>
      <c r="B1" s="19" t="inlineStr">
        <is>
          <t>名称</t>
        </is>
      </c>
      <c r="C1" s="19" t="inlineStr">
        <is>
          <t>最新日期</t>
        </is>
      </c>
      <c r="D1" s="19" t="inlineStr">
        <is>
          <t>公示份额</t>
        </is>
      </c>
      <c r="E1" s="19" t="inlineStr">
        <is>
          <t>当日变化</t>
        </is>
      </c>
      <c r="F1" s="19" t="inlineStr">
        <is>
          <t>环比昨日变动</t>
        </is>
      </c>
      <c r="G1" s="19" t="inlineStr">
        <is>
          <t>相对基期变动</t>
        </is>
      </c>
      <c r="H1" s="19" t="inlineStr">
        <is>
          <t>状态</t>
        </is>
      </c>
      <c r="I1" s="19" t="inlineStr">
        <is>
          <t>连续n日累计变动比例</t>
        </is>
      </c>
    </row>
    <row r="2">
      <c r="A2" s="20" t="inlineStr">
        <is>
          <t>510050</t>
        </is>
      </c>
      <c r="B2" s="20" t="inlineStr">
        <is>
          <t>上证50华夏</t>
        </is>
      </c>
      <c r="C2" s="22">
        <f>INDEX('510050'!$D:$D,COUNTA('510050'!$D:$D))</f>
        <v/>
      </c>
      <c r="D2" s="12">
        <f>INDEX('510050'!$E:$E,COUNTA('510050'!$E:$E))</f>
        <v/>
      </c>
      <c r="E2" s="12">
        <f>INDEX('510050'!$F:$F,COUNTA('510050'!$E:$E))</f>
        <v/>
      </c>
      <c r="F2" s="13">
        <f>INDEX('510050'!$G:$G,COUNTA('510050'!$E:$E))</f>
        <v/>
      </c>
      <c r="G2" s="13">
        <f>INDEX('510050'!$I:$I,COUNTA('510050'!$E:$E))</f>
        <v/>
      </c>
      <c r="H2" s="20" t="inlineStr">
        <is>
          <t>反转增持</t>
        </is>
      </c>
      <c r="I2" s="13">
        <f>SUM(INDEX('510050'!$I:$I,COUNTA('510050'!$E:$E)-1+1):INDEX('510050'!$I:$I,COUNTA('510050'!$E:$E)))</f>
        <v/>
      </c>
    </row>
    <row r="3">
      <c r="A3" s="20" t="inlineStr">
        <is>
          <t>510300</t>
        </is>
      </c>
      <c r="B3" s="20" t="inlineStr">
        <is>
          <t>沪深300etf华泰柏瑞</t>
        </is>
      </c>
      <c r="C3" s="22">
        <f>INDEX('510300'!$D:$D,COUNTA('510300'!$D:$D))</f>
        <v/>
      </c>
      <c r="D3" s="12">
        <f>INDEX('510300'!$E:$E,COUNTA('510300'!$E:$E))</f>
        <v/>
      </c>
      <c r="E3" s="12">
        <f>INDEX('510300'!$F:$F,COUNTA('510300'!$E:$E))</f>
        <v/>
      </c>
      <c r="F3" s="13">
        <f>INDEX('510300'!$G:$G,COUNTA('510300'!$E:$E))</f>
        <v/>
      </c>
      <c r="G3" s="13">
        <f>INDEX('510300'!$I:$I,COUNTA('510300'!$E:$E))</f>
        <v/>
      </c>
      <c r="H3" s="20" t="inlineStr">
        <is>
          <t>连续9日增持</t>
        </is>
      </c>
      <c r="I3" s="13">
        <f>SUM(INDEX('510300'!$I:$I,COUNTA('510300'!$E:$E)-9+1):INDEX('510300'!$I:$I,COUNTA('510300'!$E:$E)))</f>
        <v/>
      </c>
    </row>
    <row r="4">
      <c r="A4" s="20" t="inlineStr">
        <is>
          <t>159919</t>
        </is>
      </c>
      <c r="B4" s="20" t="inlineStr">
        <is>
          <t>沪深300ETF嘉实</t>
        </is>
      </c>
      <c r="C4" s="22">
        <f>INDEX('159919'!$D:$D,COUNTA('159919'!$D:$D))</f>
        <v/>
      </c>
      <c r="D4" s="12">
        <f>INDEX('159919'!$E:$E,COUNTA('159919'!$E:$E))</f>
        <v/>
      </c>
      <c r="E4" s="12">
        <f>INDEX('159919'!$F:$F,COUNTA('159919'!$E:$E))</f>
        <v/>
      </c>
      <c r="F4" s="13">
        <f>INDEX('159919'!$G:$G,COUNTA('159919'!$E:$E))</f>
        <v/>
      </c>
      <c r="G4" s="13">
        <f>INDEX('159919'!$I:$I,COUNTA('159919'!$E:$E))</f>
        <v/>
      </c>
      <c r="H4" s="20" t="inlineStr">
        <is>
          <t>反转减持</t>
        </is>
      </c>
      <c r="I4" s="13">
        <f>SUM(INDEX('159919'!$I:$I,COUNTA('159919'!$E:$E)-1+1):INDEX('159919'!$I:$I,COUNTA('159919'!$E:$E)))</f>
        <v/>
      </c>
    </row>
    <row r="5">
      <c r="A5" s="20" t="inlineStr">
        <is>
          <t>159915</t>
        </is>
      </c>
      <c r="B5" s="20" t="inlineStr">
        <is>
          <t>易方达创业板ETF</t>
        </is>
      </c>
      <c r="C5" s="22">
        <f>INDEX('159915'!$D:$D,COUNTA('159915'!$D:$D))</f>
        <v/>
      </c>
      <c r="D5" s="12">
        <f>INDEX('159915'!$E:$E,COUNTA('159915'!$E:$E))</f>
        <v/>
      </c>
      <c r="E5" s="12">
        <f>INDEX('159915'!$F:$F,COUNTA('159915'!$E:$E))</f>
        <v/>
      </c>
      <c r="F5" s="13">
        <f>INDEX('159915'!$G:$G,COUNTA('159915'!$E:$E))</f>
        <v/>
      </c>
      <c r="G5" s="13">
        <f>INDEX('159915'!$I:$I,COUNTA('159915'!$E:$E))</f>
        <v/>
      </c>
      <c r="H5" s="20" t="inlineStr">
        <is>
          <t>连续14日增持</t>
        </is>
      </c>
      <c r="I5" s="13">
        <f>SUM(INDEX('159915'!$I:$I,COUNTA('159915'!$E:$E)-14+1):INDEX('159915'!$I:$I,COUNTA('159915'!$E:$E)))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1" workbookViewId="0">
      <selection activeCell="A1" sqref="A1"/>
    </sheetView>
  </sheetViews>
  <sheetFormatPr baseColWidth="8" defaultRowHeight="15"/>
  <sheetData>
    <row r="1">
      <c r="A1" s="19" t="inlineStr">
        <is>
          <t>来源</t>
        </is>
      </c>
      <c r="B1" s="19" t="inlineStr">
        <is>
          <t>代码</t>
        </is>
      </c>
      <c r="C1" s="19" t="inlineStr">
        <is>
          <t>名称</t>
        </is>
      </c>
      <c r="D1" s="19" t="inlineStr">
        <is>
          <t>日期</t>
        </is>
      </c>
      <c r="E1" s="19" t="inlineStr">
        <is>
          <t>当日公示份额（万份）</t>
        </is>
      </c>
      <c r="F1" s="19" t="inlineStr">
        <is>
          <t>当日变化</t>
        </is>
      </c>
      <c r="G1" s="19" t="inlineStr">
        <is>
          <t>环比变动比例</t>
        </is>
      </c>
      <c r="H1" s="19" t="inlineStr">
        <is>
          <t>基期总份额</t>
        </is>
      </c>
      <c r="I1" s="19" t="inlineStr">
        <is>
          <t>相对基期变动比例</t>
        </is>
      </c>
    </row>
    <row r="2">
      <c r="A2" s="20" t="inlineStr">
        <is>
          <t>深交所</t>
        </is>
      </c>
      <c r="B2" s="20" t="inlineStr">
        <is>
          <t>159915</t>
        </is>
      </c>
      <c r="C2" s="20" t="inlineStr">
        <is>
          <t>易方达创业板ETF</t>
        </is>
      </c>
      <c r="D2" s="21" t="n">
        <v>46204</v>
      </c>
      <c r="E2" s="20" t="n">
        <v>1069445.49</v>
      </c>
      <c r="H2" s="20" t="n">
        <v>3150245.49</v>
      </c>
    </row>
    <row r="3">
      <c r="A3" s="20" t="inlineStr">
        <is>
          <t>深交所</t>
        </is>
      </c>
      <c r="B3" s="20" t="inlineStr">
        <is>
          <t>159915</t>
        </is>
      </c>
      <c r="C3" s="20" t="inlineStr">
        <is>
          <t>易方达创业板ETF</t>
        </is>
      </c>
      <c r="D3" s="21" t="n">
        <v>46205</v>
      </c>
      <c r="E3" s="20" t="n">
        <v>1116545.49</v>
      </c>
      <c r="F3" s="20">
        <f>=E3-E2</f>
        <v/>
      </c>
      <c r="G3" s="20">
        <f>=F3/E2</f>
        <v/>
      </c>
      <c r="H3" s="20" t="n">
        <v>3150245.49</v>
      </c>
      <c r="I3" s="20">
        <f>=F3/H3</f>
        <v/>
      </c>
    </row>
    <row r="4">
      <c r="A4" s="20" t="inlineStr">
        <is>
          <t>深交所</t>
        </is>
      </c>
      <c r="B4" s="20" t="inlineStr">
        <is>
          <t>159915</t>
        </is>
      </c>
      <c r="C4" s="20" t="inlineStr">
        <is>
          <t>易方达创业板ETF</t>
        </is>
      </c>
      <c r="D4" s="21" t="n">
        <v>46206</v>
      </c>
      <c r="E4" s="20" t="n">
        <v>1104245.49</v>
      </c>
      <c r="F4" s="20">
        <f>=E4-E3</f>
        <v/>
      </c>
      <c r="G4" s="20">
        <f>=F4/E3</f>
        <v/>
      </c>
      <c r="H4" s="20" t="n">
        <v>3150245.49</v>
      </c>
      <c r="I4" s="20">
        <f>=F4/H4</f>
        <v/>
      </c>
    </row>
    <row r="5">
      <c r="A5" s="20" t="inlineStr">
        <is>
          <t>深交所</t>
        </is>
      </c>
      <c r="B5" s="20" t="inlineStr">
        <is>
          <t>159915</t>
        </is>
      </c>
      <c r="C5" s="20" t="inlineStr">
        <is>
          <t>易方达创业板ETF</t>
        </is>
      </c>
      <c r="D5" s="21" t="n">
        <v>46209</v>
      </c>
      <c r="E5" s="20" t="n">
        <v>1114345.49</v>
      </c>
      <c r="F5" s="20">
        <f>=E5-E4</f>
        <v/>
      </c>
      <c r="G5" s="20">
        <f>=F5/E4</f>
        <v/>
      </c>
      <c r="H5" s="20" t="n">
        <v>3150245.49</v>
      </c>
      <c r="I5" s="20">
        <f>=F5/H5</f>
        <v/>
      </c>
    </row>
    <row r="6">
      <c r="A6" s="20" t="inlineStr">
        <is>
          <t>深交所</t>
        </is>
      </c>
      <c r="B6" s="20" t="inlineStr">
        <is>
          <t>159915</t>
        </is>
      </c>
      <c r="C6" s="20" t="inlineStr">
        <is>
          <t>易方达创业板ETF</t>
        </is>
      </c>
      <c r="D6" s="21" t="n">
        <v>46210</v>
      </c>
      <c r="E6" s="20" t="n">
        <v>1153345.49</v>
      </c>
      <c r="F6" s="20">
        <f>=E6-E5</f>
        <v/>
      </c>
      <c r="G6" s="20">
        <f>=F6/E5</f>
        <v/>
      </c>
      <c r="H6" s="20" t="n">
        <v>3150245.49</v>
      </c>
      <c r="I6" s="20">
        <f>=F6/H6</f>
        <v/>
      </c>
    </row>
    <row r="7">
      <c r="A7" s="20" t="inlineStr">
        <is>
          <t>深交所</t>
        </is>
      </c>
      <c r="B7" s="20" t="inlineStr">
        <is>
          <t>159915</t>
        </is>
      </c>
      <c r="C7" s="20" t="inlineStr">
        <is>
          <t>易方达创业板ETF</t>
        </is>
      </c>
      <c r="D7" s="21" t="n">
        <v>46211</v>
      </c>
      <c r="E7" s="20" t="n">
        <v>1174645.49</v>
      </c>
      <c r="F7" s="20">
        <f>=E7-E6</f>
        <v/>
      </c>
      <c r="G7" s="20">
        <f>=F7/E6</f>
        <v/>
      </c>
      <c r="H7" s="20" t="n">
        <v>3150245.49</v>
      </c>
      <c r="I7" s="20">
        <f>=F7/H7</f>
        <v/>
      </c>
    </row>
    <row r="8">
      <c r="A8" s="20" t="inlineStr">
        <is>
          <t>深交所</t>
        </is>
      </c>
      <c r="B8" s="20" t="inlineStr">
        <is>
          <t>159915</t>
        </is>
      </c>
      <c r="C8" s="20" t="inlineStr">
        <is>
          <t>易方达创业板ETF</t>
        </is>
      </c>
      <c r="D8" s="21" t="n">
        <v>46212</v>
      </c>
      <c r="E8" s="20" t="n">
        <v>1180045.49</v>
      </c>
      <c r="F8" s="20">
        <f>=E8-E7</f>
        <v/>
      </c>
      <c r="G8" s="20">
        <f>=F8/E7</f>
        <v/>
      </c>
      <c r="H8" s="20" t="n">
        <v>3150245.49</v>
      </c>
      <c r="I8" s="20">
        <f>=F8/H8</f>
        <v/>
      </c>
    </row>
    <row r="9">
      <c r="A9" s="20" t="inlineStr">
        <is>
          <t>深交所</t>
        </is>
      </c>
      <c r="B9" s="20" t="inlineStr">
        <is>
          <t>159915</t>
        </is>
      </c>
      <c r="C9" s="20" t="inlineStr">
        <is>
          <t>易方达创业板ETF</t>
        </is>
      </c>
      <c r="D9" s="21" t="n">
        <v>46213</v>
      </c>
      <c r="E9" s="20" t="n">
        <v>1180145.49</v>
      </c>
      <c r="F9" s="20">
        <f>=E9-E8</f>
        <v/>
      </c>
      <c r="G9" s="20">
        <f>=F9/E8</f>
        <v/>
      </c>
      <c r="H9" s="20" t="n">
        <v>3150245.49</v>
      </c>
      <c r="I9" s="20">
        <f>=F9/H9</f>
        <v/>
      </c>
    </row>
    <row r="10">
      <c r="A10" s="20" t="inlineStr">
        <is>
          <t>深交所</t>
        </is>
      </c>
      <c r="B10" s="20" t="inlineStr">
        <is>
          <t>159915</t>
        </is>
      </c>
      <c r="C10" s="20" t="inlineStr">
        <is>
          <t>易方达创业板ETF</t>
        </is>
      </c>
      <c r="D10" s="21" t="n">
        <v>46216</v>
      </c>
      <c r="E10" s="20" t="n">
        <v>1233845.49</v>
      </c>
      <c r="F10" s="20">
        <f>=E10-E9</f>
        <v/>
      </c>
      <c r="G10" s="20">
        <f>=F10/E9</f>
        <v/>
      </c>
      <c r="H10" s="20" t="n">
        <v>3150245.49</v>
      </c>
      <c r="I10" s="20">
        <f>=F10/H10</f>
        <v/>
      </c>
    </row>
    <row r="11">
      <c r="A11" s="20" t="inlineStr">
        <is>
          <t>深交所</t>
        </is>
      </c>
      <c r="B11" s="20" t="inlineStr">
        <is>
          <t>159915</t>
        </is>
      </c>
      <c r="C11" s="20" t="inlineStr">
        <is>
          <t>易方达创业板ETF</t>
        </is>
      </c>
      <c r="D11" s="21" t="n">
        <v>46217</v>
      </c>
      <c r="E11" s="20" t="n">
        <v>1246945.49</v>
      </c>
      <c r="F11" s="20">
        <f>=E11-E10</f>
        <v/>
      </c>
      <c r="G11" s="20">
        <f>=F11/E10</f>
        <v/>
      </c>
      <c r="H11" s="20" t="n">
        <v>3150245.49</v>
      </c>
      <c r="I11" s="20">
        <f>=F11/H11</f>
        <v/>
      </c>
    </row>
    <row r="12">
      <c r="A12" s="20" t="inlineStr">
        <is>
          <t>深交所</t>
        </is>
      </c>
      <c r="B12" s="20" t="inlineStr">
        <is>
          <t>159915</t>
        </is>
      </c>
      <c r="C12" s="20" t="inlineStr">
        <is>
          <t>易方达创业板ETF</t>
        </is>
      </c>
      <c r="D12" s="21" t="n">
        <v>46218</v>
      </c>
      <c r="E12" s="20" t="n">
        <v>1245645.49</v>
      </c>
      <c r="F12" s="20">
        <f>=E12-E11</f>
        <v/>
      </c>
      <c r="G12" s="20">
        <f>=F12/E11</f>
        <v/>
      </c>
      <c r="H12" s="20" t="n">
        <v>3150245.49</v>
      </c>
      <c r="I12" s="20">
        <f>=F12/H12</f>
        <v/>
      </c>
    </row>
    <row r="13">
      <c r="A13" s="20" t="inlineStr">
        <is>
          <t>深交所</t>
        </is>
      </c>
      <c r="B13" s="20" t="inlineStr">
        <is>
          <t>159915</t>
        </is>
      </c>
      <c r="C13" s="20" t="inlineStr">
        <is>
          <t>易方达创业板ETF</t>
        </is>
      </c>
      <c r="D13" s="21" t="n">
        <v>46219</v>
      </c>
      <c r="E13" s="20" t="n">
        <v>1302445.49</v>
      </c>
      <c r="F13" s="20">
        <f>=E13-E12</f>
        <v/>
      </c>
      <c r="G13" s="20">
        <f>=F13/E12</f>
        <v/>
      </c>
      <c r="H13" s="20" t="n">
        <v>3150245.49</v>
      </c>
      <c r="I13" s="20">
        <f>=F13/H13</f>
        <v/>
      </c>
    </row>
    <row r="14">
      <c r="A14" s="20" t="inlineStr">
        <is>
          <t>深交所</t>
        </is>
      </c>
      <c r="B14" s="20" t="inlineStr">
        <is>
          <t>159915</t>
        </is>
      </c>
      <c r="C14" s="20" t="inlineStr">
        <is>
          <t>易方达创业板ETF</t>
        </is>
      </c>
      <c r="D14" s="21" t="n">
        <v>46220</v>
      </c>
      <c r="E14" s="20" t="n">
        <v>1492045.49</v>
      </c>
      <c r="F14" s="20">
        <f>=E14-E13</f>
        <v/>
      </c>
      <c r="G14" s="20">
        <f>=F14/E13</f>
        <v/>
      </c>
      <c r="H14" s="20" t="n">
        <v>3150245.49</v>
      </c>
      <c r="I14" s="20">
        <f>=F14/H14</f>
        <v/>
      </c>
    </row>
    <row r="15">
      <c r="A15" s="20" t="inlineStr">
        <is>
          <t>深交所</t>
        </is>
      </c>
      <c r="B15" s="20" t="inlineStr">
        <is>
          <t>159915</t>
        </is>
      </c>
      <c r="C15" s="20" t="inlineStr">
        <is>
          <t>易方达创业板ETF</t>
        </is>
      </c>
      <c r="D15" s="21" t="n">
        <v>46223</v>
      </c>
      <c r="E15" s="20" t="n">
        <v>1763945.49</v>
      </c>
      <c r="F15" s="20">
        <f>=E15-E14</f>
        <v/>
      </c>
      <c r="G15" s="20">
        <f>=F15/E14</f>
        <v/>
      </c>
      <c r="H15" s="20" t="n">
        <v>3150245.49</v>
      </c>
      <c r="I15" s="20">
        <f>=F15/H15</f>
        <v/>
      </c>
    </row>
    <row r="16">
      <c r="A16" s="20" t="inlineStr">
        <is>
          <t>深交所</t>
        </is>
      </c>
      <c r="B16" s="20" t="inlineStr">
        <is>
          <t>159915</t>
        </is>
      </c>
      <c r="C16" s="20" t="inlineStr">
        <is>
          <t>易方达创业板ETF</t>
        </is>
      </c>
      <c r="D16" s="21" t="n">
        <v>46224</v>
      </c>
      <c r="E16" s="20" t="n">
        <v>1704345.49</v>
      </c>
      <c r="F16" s="20">
        <f>=E16-E15</f>
        <v/>
      </c>
      <c r="G16" s="20">
        <f>=F16/E15</f>
        <v/>
      </c>
      <c r="H16" s="20" t="n">
        <v>3150245.49</v>
      </c>
      <c r="I16" s="20">
        <f>=F16/H16</f>
        <v/>
      </c>
    </row>
    <row r="17">
      <c r="A17" s="20" t="inlineStr">
        <is>
          <t>深交所</t>
        </is>
      </c>
      <c r="B17" s="20" t="inlineStr">
        <is>
          <t>159915</t>
        </is>
      </c>
      <c r="C17" s="20" t="inlineStr">
        <is>
          <t>易方达创业板ETF</t>
        </is>
      </c>
      <c r="D17" s="21" t="n">
        <v>46225</v>
      </c>
      <c r="E17" s="20" t="n">
        <v>1662645.49</v>
      </c>
      <c r="F17" s="20">
        <f>=E17-E16</f>
        <v/>
      </c>
      <c r="G17" s="20">
        <f>=F17/E16</f>
        <v/>
      </c>
      <c r="H17" s="20" t="n">
        <v>3150245.49</v>
      </c>
      <c r="I17" s="20">
        <f>=F17/H17</f>
        <v/>
      </c>
    </row>
    <row r="18">
      <c r="A18" s="20" t="inlineStr">
        <is>
          <t>深交所</t>
        </is>
      </c>
      <c r="B18" s="20" t="inlineStr">
        <is>
          <t>159915</t>
        </is>
      </c>
      <c r="C18" s="20" t="inlineStr">
        <is>
          <t>易方达创业板ETF</t>
        </is>
      </c>
      <c r="D18" s="21" t="n">
        <v>46226</v>
      </c>
      <c r="E18" s="20" t="n">
        <v>1661945.49</v>
      </c>
      <c r="F18" s="20">
        <f>=E18-E17</f>
        <v/>
      </c>
      <c r="G18" s="20">
        <f>=F18/E17</f>
        <v/>
      </c>
      <c r="H18" s="20" t="n">
        <v>3150245.49</v>
      </c>
      <c r="I18" s="20">
        <f>=F18/H18</f>
        <v/>
      </c>
    </row>
    <row r="19">
      <c r="A19" s="20" t="inlineStr">
        <is>
          <t>深交所</t>
        </is>
      </c>
      <c r="B19" s="20" t="inlineStr">
        <is>
          <t>159915</t>
        </is>
      </c>
      <c r="C19" s="20" t="inlineStr">
        <is>
          <t>易方达创业板ETF</t>
        </is>
      </c>
      <c r="D19" s="21" t="n">
        <v>46227</v>
      </c>
      <c r="E19" s="20" t="n">
        <v>1665345.49</v>
      </c>
      <c r="F19" s="20">
        <f>=E19-E18</f>
        <v/>
      </c>
      <c r="G19" s="20">
        <f>=F19/E18</f>
        <v/>
      </c>
      <c r="H19" s="20" t="n">
        <v>3150245.49</v>
      </c>
      <c r="I19" s="20">
        <f>=F19/H19</f>
        <v/>
      </c>
    </row>
    <row r="20">
      <c r="A20" s="20" t="inlineStr">
        <is>
          <t>深交所</t>
        </is>
      </c>
      <c r="B20" s="20" t="inlineStr">
        <is>
          <t>159915</t>
        </is>
      </c>
      <c r="C20" s="20" t="inlineStr">
        <is>
          <t>易方达创业板ETF</t>
        </is>
      </c>
      <c r="D20" s="21" t="n">
        <v>46230</v>
      </c>
      <c r="E20" s="20" t="n">
        <v>1697345.49</v>
      </c>
      <c r="F20" s="20">
        <f>=E20-E19</f>
        <v/>
      </c>
      <c r="G20" s="20">
        <f>=F20/E19</f>
        <v/>
      </c>
      <c r="H20" s="20" t="n">
        <v>3150245.49</v>
      </c>
      <c r="I20" s="20">
        <f>=F20/H20</f>
        <v/>
      </c>
    </row>
    <row r="21">
      <c r="A21" s="20" t="inlineStr">
        <is>
          <t>深交所</t>
        </is>
      </c>
      <c r="B21" s="20" t="inlineStr">
        <is>
          <t>159915</t>
        </is>
      </c>
      <c r="C21" s="20" t="inlineStr">
        <is>
          <t>易方达创业板ETF</t>
        </is>
      </c>
      <c r="D21" s="21" t="n">
        <v>46231</v>
      </c>
      <c r="E21" s="20" t="n">
        <v>1897445.49</v>
      </c>
      <c r="F21" s="20">
        <f>=E21-E20</f>
        <v/>
      </c>
      <c r="G21" s="20">
        <f>=F21/E20</f>
        <v/>
      </c>
      <c r="H21" s="20" t="n">
        <v>3150245.49</v>
      </c>
      <c r="I21" s="20">
        <f>=F21/H21</f>
        <v/>
      </c>
    </row>
    <row r="22">
      <c r="A22" s="20" t="inlineStr">
        <is>
          <t>深交所</t>
        </is>
      </c>
      <c r="B22" s="20" t="inlineStr">
        <is>
          <t>159915</t>
        </is>
      </c>
      <c r="C22" s="20" t="inlineStr">
        <is>
          <t>易方达创业板ETF</t>
        </is>
      </c>
      <c r="D22" s="21" t="n">
        <v>46232</v>
      </c>
      <c r="E22" s="20" t="n">
        <v>2004845.49</v>
      </c>
      <c r="F22" s="20">
        <f>=E22-E21</f>
        <v/>
      </c>
      <c r="G22" s="20">
        <f>=F22/E21</f>
        <v/>
      </c>
      <c r="H22" s="20" t="n">
        <v>3150245.49</v>
      </c>
      <c r="I22" s="20">
        <f>=F22/H22</f>
        <v/>
      </c>
    </row>
    <row r="23">
      <c r="A23" s="20" t="inlineStr">
        <is>
          <t>深交所</t>
        </is>
      </c>
      <c r="B23" s="20" t="inlineStr">
        <is>
          <t>159915</t>
        </is>
      </c>
      <c r="C23" s="20" t="inlineStr">
        <is>
          <t>易方达创业板ETF</t>
        </is>
      </c>
      <c r="D23" s="21" t="n">
        <v>46233</v>
      </c>
      <c r="E23" s="20" t="n">
        <v>2199645.49</v>
      </c>
      <c r="F23" s="20">
        <f>=E23-E22</f>
        <v/>
      </c>
      <c r="G23" s="20">
        <f>=F23/E22</f>
        <v/>
      </c>
      <c r="H23" s="20" t="n">
        <v>3150245.49</v>
      </c>
      <c r="I23" s="20">
        <f>=F23/H23</f>
        <v/>
      </c>
    </row>
    <row r="24">
      <c r="A24" s="20" t="inlineStr">
        <is>
          <t>深交所</t>
        </is>
      </c>
      <c r="B24" s="20" t="inlineStr">
        <is>
          <t>159915</t>
        </is>
      </c>
      <c r="C24" s="20" t="inlineStr">
        <is>
          <t>易方达创业板ETF</t>
        </is>
      </c>
      <c r="D24" s="21" t="n">
        <v>46234</v>
      </c>
      <c r="E24" s="20" t="n">
        <v>2039745.49</v>
      </c>
      <c r="F24" s="20">
        <f>=E24-E23</f>
        <v/>
      </c>
      <c r="G24" s="20">
        <f>=F24/E23</f>
        <v/>
      </c>
      <c r="H24" s="20" t="n">
        <v>3150245.49</v>
      </c>
      <c r="I24" s="20">
        <f>=F24/H24</f>
        <v/>
      </c>
    </row>
    <row r="25">
      <c r="A25" s="20" t="inlineStr">
        <is>
          <t>深交所</t>
        </is>
      </c>
      <c r="B25" s="20" t="inlineStr">
        <is>
          <t>159915</t>
        </is>
      </c>
      <c r="C25" s="20" t="inlineStr">
        <is>
          <t>易方达创业板ETF</t>
        </is>
      </c>
      <c r="D25" s="21" t="n">
        <v>46237</v>
      </c>
      <c r="E25" s="20" t="n">
        <v>2035945.49</v>
      </c>
      <c r="F25" s="20">
        <f>=E25-E24</f>
        <v/>
      </c>
      <c r="G25" s="20">
        <f>=F25/E24</f>
        <v/>
      </c>
      <c r="H25" s="20" t="n">
        <v>3150245.49</v>
      </c>
      <c r="I25" s="20">
        <f>=F25/H25</f>
        <v/>
      </c>
    </row>
    <row r="26">
      <c r="A26" s="3" t="inlineStr">
        <is>
          <t>深交所</t>
        </is>
      </c>
      <c r="B26" s="3" t="inlineStr">
        <is>
          <t>159915</t>
        </is>
      </c>
      <c r="C26" s="3" t="inlineStr">
        <is>
          <t>易方达创业板ETF</t>
        </is>
      </c>
      <c r="D26" s="23" t="n">
        <v>46238</v>
      </c>
      <c r="E26" s="3" t="n">
        <v>1940445.49</v>
      </c>
      <c r="F26" s="3">
        <f>E26-E25</f>
        <v/>
      </c>
      <c r="G26" s="3">
        <f>F26/E25</f>
        <v/>
      </c>
      <c r="H26" s="3" t="n">
        <v>3150245.49</v>
      </c>
      <c r="I26" s="3">
        <f>F26/H26</f>
        <v/>
      </c>
    </row>
    <row r="27">
      <c r="A27" s="3" t="inlineStr">
        <is>
          <t>深交所</t>
        </is>
      </c>
      <c r="B27" s="3" t="inlineStr">
        <is>
          <t>159915</t>
        </is>
      </c>
      <c r="C27" s="3" t="inlineStr">
        <is>
          <t>易方达创业板ETF</t>
        </is>
      </c>
      <c r="D27" s="23" t="n">
        <v>46239</v>
      </c>
      <c r="E27" s="3" t="n">
        <v>1897845.49</v>
      </c>
      <c r="F27" s="3">
        <f>E27-E26</f>
        <v/>
      </c>
      <c r="G27" s="3">
        <f>F27/E26</f>
        <v/>
      </c>
      <c r="H27" s="3" t="n">
        <v>3150245.49</v>
      </c>
      <c r="I27" s="3">
        <f>F27/H27</f>
        <v/>
      </c>
    </row>
    <row r="28">
      <c r="A28" s="3" t="inlineStr">
        <is>
          <t>深交所</t>
        </is>
      </c>
      <c r="B28" s="3" t="inlineStr">
        <is>
          <t>159915</t>
        </is>
      </c>
      <c r="C28" s="3" t="inlineStr">
        <is>
          <t>易方达创业板ETF</t>
        </is>
      </c>
      <c r="D28" s="23" t="n">
        <v>46240</v>
      </c>
      <c r="E28" s="3" t="n">
        <v>1876845.49</v>
      </c>
      <c r="F28" s="3">
        <f>E28-E27</f>
        <v/>
      </c>
      <c r="G28" s="3">
        <f>F28/E27</f>
        <v/>
      </c>
      <c r="H28" s="3" t="n">
        <v>3150245.49</v>
      </c>
      <c r="I28" s="3">
        <f>F28/H28</f>
        <v/>
      </c>
    </row>
    <row r="29">
      <c r="A29" s="3" t="inlineStr">
        <is>
          <t>深交所</t>
        </is>
      </c>
      <c r="B29" s="3" t="inlineStr">
        <is>
          <t>159915</t>
        </is>
      </c>
      <c r="C29" s="3" t="inlineStr">
        <is>
          <t>易方达创业板ETF</t>
        </is>
      </c>
      <c r="D29" s="23" t="n">
        <v>46241</v>
      </c>
      <c r="E29" s="3" t="n">
        <v>1833945.49</v>
      </c>
      <c r="F29" s="3">
        <f>E29-E28</f>
        <v/>
      </c>
      <c r="G29" s="3">
        <f>F29/E28</f>
        <v/>
      </c>
      <c r="H29" s="3" t="n">
        <v>3150245.49</v>
      </c>
      <c r="I29" s="3">
        <f>F29/H29</f>
        <v/>
      </c>
    </row>
    <row r="30">
      <c r="A30" s="3" t="inlineStr">
        <is>
          <t>深交所</t>
        </is>
      </c>
      <c r="B30" s="3" t="inlineStr">
        <is>
          <t>159915</t>
        </is>
      </c>
      <c r="C30" s="3" t="inlineStr">
        <is>
          <t>易方达创业板ETF</t>
        </is>
      </c>
      <c r="D30" s="23" t="n">
        <v>46244</v>
      </c>
      <c r="E30" s="3" t="n">
        <v>1857445.49</v>
      </c>
      <c r="F30" s="3">
        <f>E30-E29</f>
        <v/>
      </c>
      <c r="G30" s="3">
        <f>F30/E29</f>
        <v/>
      </c>
      <c r="H30" s="3" t="n">
        <v>3150245.49</v>
      </c>
      <c r="I30" s="3">
        <f>F30/H30</f>
        <v/>
      </c>
    </row>
    <row r="31">
      <c r="A31" s="3" t="inlineStr">
        <is>
          <t>深交所</t>
        </is>
      </c>
      <c r="B31" s="3" t="inlineStr">
        <is>
          <t>159915</t>
        </is>
      </c>
      <c r="C31" s="3" t="inlineStr">
        <is>
          <t>易方达创业板ETF</t>
        </is>
      </c>
      <c r="D31" s="23" t="n">
        <v>46245</v>
      </c>
      <c r="E31" s="3" t="n">
        <v>1816745.49</v>
      </c>
      <c r="F31" s="3">
        <f>E31-E30</f>
        <v/>
      </c>
      <c r="G31" s="3">
        <f>F31/E30</f>
        <v/>
      </c>
      <c r="H31" s="3" t="n">
        <v>3150245.49</v>
      </c>
      <c r="I31" s="3">
        <f>F31/H31</f>
        <v/>
      </c>
    </row>
    <row r="32">
      <c r="A32" s="3" t="inlineStr">
        <is>
          <t>深交所</t>
        </is>
      </c>
      <c r="B32" s="3" t="inlineStr">
        <is>
          <t>159915</t>
        </is>
      </c>
      <c r="C32" s="3" t="inlineStr">
        <is>
          <t>易方达创业板ETF</t>
        </is>
      </c>
      <c r="D32" s="23" t="n">
        <v>46246</v>
      </c>
      <c r="E32" s="3" t="n">
        <v>1798145.49</v>
      </c>
      <c r="F32" s="3">
        <f>E32-E31</f>
        <v/>
      </c>
      <c r="G32" s="3">
        <f>F32/E31</f>
        <v/>
      </c>
      <c r="H32" s="3" t="n">
        <v>3150245.49</v>
      </c>
      <c r="I32" s="3">
        <f>F32/H32</f>
        <v/>
      </c>
    </row>
    <row r="33">
      <c r="A33" s="3" t="inlineStr">
        <is>
          <t>深交所</t>
        </is>
      </c>
      <c r="B33" s="3" t="inlineStr">
        <is>
          <t>159915</t>
        </is>
      </c>
      <c r="C33" s="3" t="inlineStr">
        <is>
          <t>易方达创业板ETF</t>
        </is>
      </c>
      <c r="D33" s="23" t="n">
        <v>46247</v>
      </c>
      <c r="E33" s="3" t="n">
        <v>1766045.49</v>
      </c>
      <c r="F33" s="3">
        <f>E33-E32</f>
        <v/>
      </c>
      <c r="G33" s="3">
        <f>F33/E32</f>
        <v/>
      </c>
      <c r="H33" s="3" t="n">
        <v>3150245.49</v>
      </c>
      <c r="I33" s="3">
        <f>F33/H33</f>
        <v/>
      </c>
    </row>
    <row r="34">
      <c r="A34" s="3" t="inlineStr">
        <is>
          <t>深交所</t>
        </is>
      </c>
      <c r="B34" s="3" t="inlineStr">
        <is>
          <t>159915</t>
        </is>
      </c>
      <c r="C34" s="3" t="inlineStr">
        <is>
          <t>易方达创业板ETF</t>
        </is>
      </c>
      <c r="D34" s="23" t="n">
        <v>46248</v>
      </c>
      <c r="E34" s="3" t="n">
        <v>1746045.49</v>
      </c>
      <c r="F34" s="3">
        <f>E34-E33</f>
        <v/>
      </c>
      <c r="G34" s="3">
        <f>F34/E33</f>
        <v/>
      </c>
      <c r="H34" s="3" t="n">
        <v>3150245.49</v>
      </c>
      <c r="I34" s="3">
        <f>F34/H34</f>
        <v/>
      </c>
    </row>
    <row r="35">
      <c r="A35" s="3" t="inlineStr">
        <is>
          <t>深交所</t>
        </is>
      </c>
      <c r="B35" s="3" t="inlineStr">
        <is>
          <t>159915</t>
        </is>
      </c>
      <c r="C35" s="3" t="inlineStr">
        <is>
          <t>易方达创业板ETF</t>
        </is>
      </c>
      <c r="D35" s="23" t="n">
        <v>46251</v>
      </c>
      <c r="E35" s="3" t="n">
        <v>1711445.49</v>
      </c>
      <c r="F35" s="3">
        <f>E35-E34</f>
        <v/>
      </c>
      <c r="G35" s="3">
        <f>F35/E34</f>
        <v/>
      </c>
      <c r="H35" s="3" t="n">
        <v>3150245.49</v>
      </c>
      <c r="I35" s="3">
        <f>F35/H35</f>
        <v/>
      </c>
    </row>
    <row r="36">
      <c r="A36" s="3" t="inlineStr">
        <is>
          <t>深交所</t>
        </is>
      </c>
      <c r="B36" s="3" t="inlineStr">
        <is>
          <t>159915</t>
        </is>
      </c>
      <c r="C36" s="3" t="inlineStr">
        <is>
          <t>易方达创业板ETF</t>
        </is>
      </c>
      <c r="D36" s="23" t="n">
        <v>46252</v>
      </c>
      <c r="E36" s="3" t="n">
        <v>1719145.49</v>
      </c>
      <c r="F36" s="3">
        <f>E36-E35</f>
        <v/>
      </c>
      <c r="G36" s="3">
        <f>F36/E35</f>
        <v/>
      </c>
      <c r="H36" s="3" t="n">
        <v>3150245.49</v>
      </c>
      <c r="I36" s="3">
        <f>F36/H36</f>
        <v/>
      </c>
    </row>
    <row r="37">
      <c r="A37" s="3" t="inlineStr">
        <is>
          <t>深交所</t>
        </is>
      </c>
      <c r="B37" s="3" t="inlineStr">
        <is>
          <t>159915</t>
        </is>
      </c>
      <c r="C37" s="3" t="inlineStr">
        <is>
          <t>易方达创业板ETF</t>
        </is>
      </c>
      <c r="D37" s="23" t="n">
        <v>46253</v>
      </c>
      <c r="E37" s="3" t="n">
        <v>1841045.49</v>
      </c>
      <c r="F37" s="3">
        <f>E37-E36</f>
        <v/>
      </c>
      <c r="G37" s="3">
        <f>F37/E36</f>
        <v/>
      </c>
      <c r="H37" s="3" t="n">
        <v>3150245.49</v>
      </c>
      <c r="I37" s="3">
        <f>F37/H37</f>
        <v/>
      </c>
    </row>
    <row r="38">
      <c r="A38" s="3" t="inlineStr">
        <is>
          <t>深交所</t>
        </is>
      </c>
      <c r="B38" s="3" t="inlineStr">
        <is>
          <t>159915</t>
        </is>
      </c>
      <c r="C38" s="3" t="inlineStr">
        <is>
          <t>易方达创业板ETF</t>
        </is>
      </c>
      <c r="D38" s="23" t="n">
        <v>46254</v>
      </c>
      <c r="E38" s="3" t="n">
        <v>1816045.49</v>
      </c>
      <c r="F38" s="3">
        <f>E38-E37</f>
        <v/>
      </c>
      <c r="G38" s="3">
        <f>F38/E37</f>
        <v/>
      </c>
      <c r="H38" s="3" t="n">
        <v>3150245.49</v>
      </c>
      <c r="I38" s="3">
        <f>F38/H38</f>
        <v/>
      </c>
    </row>
    <row r="39">
      <c r="A39" s="3" t="inlineStr">
        <is>
          <t>深交所</t>
        </is>
      </c>
      <c r="B39" s="3" t="inlineStr">
        <is>
          <t>159915</t>
        </is>
      </c>
      <c r="C39" s="3" t="inlineStr">
        <is>
          <t>易方达创业板ETF</t>
        </is>
      </c>
      <c r="D39" s="23" t="n">
        <v>46255</v>
      </c>
      <c r="E39" s="3" t="n">
        <v>1774545.49</v>
      </c>
      <c r="F39" s="3">
        <f>E39-E38</f>
        <v/>
      </c>
      <c r="G39" s="3">
        <f>F39/E38</f>
        <v/>
      </c>
      <c r="H39" s="3" t="n">
        <v>3150245.49</v>
      </c>
      <c r="I39" s="3">
        <f>F39/H39</f>
        <v/>
      </c>
    </row>
    <row r="40">
      <c r="A40" s="3" t="inlineStr">
        <is>
          <t>深交所</t>
        </is>
      </c>
      <c r="B40" s="3" t="inlineStr">
        <is>
          <t>159915</t>
        </is>
      </c>
      <c r="C40" s="3" t="inlineStr">
        <is>
          <t>易方达创业板ETF</t>
        </is>
      </c>
      <c r="D40" s="23" t="n">
        <v>46258</v>
      </c>
      <c r="E40" s="3" t="n">
        <v>1831645.49</v>
      </c>
      <c r="F40" s="3">
        <f>E40-E39</f>
        <v/>
      </c>
      <c r="G40" s="3">
        <f>F40/E39</f>
        <v/>
      </c>
      <c r="H40" s="3" t="n">
        <v>3150245.49</v>
      </c>
      <c r="I40" s="3">
        <f>F40/H40</f>
        <v/>
      </c>
    </row>
    <row r="41">
      <c r="A41" s="3" t="inlineStr">
        <is>
          <t>深交所</t>
        </is>
      </c>
      <c r="B41" s="3" t="inlineStr">
        <is>
          <t>159915</t>
        </is>
      </c>
      <c r="C41" s="3" t="inlineStr">
        <is>
          <t>易方达创业板ETF</t>
        </is>
      </c>
      <c r="D41" s="23" t="n">
        <v>46259</v>
      </c>
      <c r="E41" s="3" t="n">
        <v>1900445.49</v>
      </c>
      <c r="F41" s="3">
        <f>E41-E40</f>
        <v/>
      </c>
      <c r="G41" s="3">
        <f>F41/E40</f>
        <v/>
      </c>
      <c r="H41" s="3" t="n">
        <v>3150245.49</v>
      </c>
      <c r="I41" s="3">
        <f>F41/H41</f>
        <v/>
      </c>
    </row>
    <row r="42">
      <c r="A42" s="3" t="inlineStr">
        <is>
          <t>深交所</t>
        </is>
      </c>
      <c r="B42" s="3" t="inlineStr">
        <is>
          <t>159915</t>
        </is>
      </c>
      <c r="C42" s="3" t="inlineStr">
        <is>
          <t>易方达创业板ETF</t>
        </is>
      </c>
      <c r="D42" s="23" t="n">
        <v>46260</v>
      </c>
      <c r="E42" s="3" t="n">
        <v>1872245.49</v>
      </c>
      <c r="F42" s="3">
        <f>E42-E41</f>
        <v/>
      </c>
      <c r="G42" s="3">
        <f>F42/E41</f>
        <v/>
      </c>
      <c r="H42" s="3" t="n">
        <v>3150245.49</v>
      </c>
      <c r="I42" s="3">
        <f>F42/H42</f>
        <v/>
      </c>
    </row>
    <row r="43">
      <c r="A43" s="3" t="inlineStr">
        <is>
          <t>深交所</t>
        </is>
      </c>
      <c r="B43" s="3" t="inlineStr">
        <is>
          <t>159915</t>
        </is>
      </c>
      <c r="C43" s="3" t="inlineStr">
        <is>
          <t>易方达创业板ETF</t>
        </is>
      </c>
      <c r="D43" s="23" t="n">
        <v>46261</v>
      </c>
      <c r="E43" s="3" t="n">
        <v>1879145.49</v>
      </c>
      <c r="F43" s="3">
        <f>E43-E42</f>
        <v/>
      </c>
      <c r="G43" s="3">
        <f>F43/E42</f>
        <v/>
      </c>
      <c r="H43" s="3" t="n">
        <v>3150245.49</v>
      </c>
      <c r="I43" s="3">
        <f>F43/H43</f>
        <v/>
      </c>
    </row>
    <row r="44">
      <c r="A44" s="3" t="inlineStr">
        <is>
          <t>深交所</t>
        </is>
      </c>
      <c r="B44" s="3" t="inlineStr">
        <is>
          <t>159915</t>
        </is>
      </c>
      <c r="C44" s="3" t="inlineStr">
        <is>
          <t>易方达创业板ETF</t>
        </is>
      </c>
      <c r="D44" s="23" t="n">
        <v>46262</v>
      </c>
      <c r="E44" s="3" t="n">
        <v>1876245.49</v>
      </c>
      <c r="F44" s="3">
        <f>E44-E43</f>
        <v/>
      </c>
      <c r="G44" s="3">
        <f>F44/E43</f>
        <v/>
      </c>
      <c r="H44" s="3" t="n">
        <v>3150245.49</v>
      </c>
      <c r="I44" s="3">
        <f>F44/H44</f>
        <v/>
      </c>
    </row>
    <row r="45">
      <c r="A45" s="3" t="inlineStr">
        <is>
          <t>深交所</t>
        </is>
      </c>
      <c r="B45" s="3" t="inlineStr">
        <is>
          <t>159915</t>
        </is>
      </c>
      <c r="C45" s="3" t="inlineStr">
        <is>
          <t>易方达创业板ETF</t>
        </is>
      </c>
      <c r="D45" s="23" t="n">
        <v>46265</v>
      </c>
      <c r="E45" s="3" t="n">
        <v>1891645.49</v>
      </c>
      <c r="F45" s="3">
        <f>E45-E44</f>
        <v/>
      </c>
      <c r="G45" s="3">
        <f>F45/E44</f>
        <v/>
      </c>
      <c r="H45" s="3" t="n">
        <v>3150245.49</v>
      </c>
      <c r="I45" s="3">
        <f>F45/H45</f>
        <v/>
      </c>
    </row>
    <row r="46">
      <c r="A46" s="3" t="inlineStr">
        <is>
          <t>深交所</t>
        </is>
      </c>
      <c r="B46" s="3" t="inlineStr">
        <is>
          <t>159915</t>
        </is>
      </c>
      <c r="C46" s="3" t="inlineStr">
        <is>
          <t>易方达创业板ETF</t>
        </is>
      </c>
      <c r="D46" s="23" t="n">
        <v>46266</v>
      </c>
      <c r="E46" s="3" t="n">
        <v>1904445.49</v>
      </c>
      <c r="F46" s="3">
        <f>E46-E45</f>
        <v/>
      </c>
      <c r="G46" s="3">
        <f>F46/E45</f>
        <v/>
      </c>
      <c r="H46" s="3" t="n">
        <v>3150245.49</v>
      </c>
      <c r="I46" s="3">
        <f>F46/H46</f>
        <v/>
      </c>
    </row>
    <row r="47">
      <c r="A47" s="3" t="inlineStr">
        <is>
          <t>深交所</t>
        </is>
      </c>
      <c r="B47" s="3" t="inlineStr">
        <is>
          <t>159915</t>
        </is>
      </c>
      <c r="C47" s="3" t="inlineStr">
        <is>
          <t>易方达创业板ETF</t>
        </is>
      </c>
      <c r="D47" s="23" t="n">
        <v>46267</v>
      </c>
      <c r="E47" s="3" t="n">
        <v>1948045.49</v>
      </c>
      <c r="F47" s="3">
        <f>E47-E46</f>
        <v/>
      </c>
      <c r="G47" s="3">
        <f>F47/E46</f>
        <v/>
      </c>
      <c r="H47" s="3" t="n">
        <v>3150245.49</v>
      </c>
      <c r="I47" s="3">
        <f>F47/H47</f>
        <v/>
      </c>
    </row>
    <row r="48">
      <c r="A48" s="3" t="inlineStr">
        <is>
          <t>深交所</t>
        </is>
      </c>
      <c r="B48" s="3" t="inlineStr">
        <is>
          <t>159915</t>
        </is>
      </c>
      <c r="C48" s="3" t="inlineStr">
        <is>
          <t>易方达创业板ETF</t>
        </is>
      </c>
      <c r="D48" s="23" t="n">
        <v>46268</v>
      </c>
      <c r="E48" s="3" t="n">
        <v>1982845.49</v>
      </c>
      <c r="F48" s="3">
        <f>E48-E47</f>
        <v/>
      </c>
      <c r="G48" s="3">
        <f>F48/E47</f>
        <v/>
      </c>
      <c r="H48" s="3" t="n">
        <v>3150245.49</v>
      </c>
      <c r="I48" s="3">
        <f>F48/H48</f>
        <v/>
      </c>
    </row>
    <row r="49">
      <c r="A49" s="3" t="inlineStr">
        <is>
          <t>深交所</t>
        </is>
      </c>
      <c r="B49" s="3" t="inlineStr">
        <is>
          <t>159915</t>
        </is>
      </c>
      <c r="C49" s="3" t="inlineStr">
        <is>
          <t>易方达创业板ETF</t>
        </is>
      </c>
      <c r="D49" s="23" t="n">
        <v>46269</v>
      </c>
      <c r="E49" s="3" t="n">
        <v>2008945.49</v>
      </c>
      <c r="F49" s="3">
        <f>E49-E48</f>
        <v/>
      </c>
      <c r="G49" s="3">
        <f>F49/E48</f>
        <v/>
      </c>
      <c r="H49" s="3" t="n">
        <v>3150245.49</v>
      </c>
      <c r="I49" s="3">
        <f>F49/H49</f>
        <v/>
      </c>
    </row>
    <row r="50">
      <c r="A50" s="3" t="inlineStr">
        <is>
          <t>深交所</t>
        </is>
      </c>
      <c r="B50" s="3" t="inlineStr">
        <is>
          <t>159915</t>
        </is>
      </c>
      <c r="C50" s="3" t="inlineStr">
        <is>
          <t>易方达创业板ETF</t>
        </is>
      </c>
      <c r="D50" s="23" t="n">
        <v>46272</v>
      </c>
      <c r="E50" s="3" t="n">
        <v>1929145.49</v>
      </c>
      <c r="F50" s="3">
        <f>E50-E49</f>
        <v/>
      </c>
      <c r="G50" s="3">
        <f>F50/E49</f>
        <v/>
      </c>
      <c r="H50" s="3" t="n">
        <v>3150245.49</v>
      </c>
      <c r="I50" s="3">
        <f>F50/H50</f>
        <v/>
      </c>
    </row>
    <row r="51">
      <c r="A51" s="3" t="inlineStr">
        <is>
          <t>深交所</t>
        </is>
      </c>
      <c r="B51" s="3" t="inlineStr">
        <is>
          <t>159915</t>
        </is>
      </c>
      <c r="C51" s="3" t="inlineStr">
        <is>
          <t>易方达创业板ETF</t>
        </is>
      </c>
      <c r="D51" s="23" t="n">
        <v>46273</v>
      </c>
      <c r="E51" s="3" t="n">
        <v>1936445.49</v>
      </c>
      <c r="F51" s="3">
        <f>E51-E50</f>
        <v/>
      </c>
      <c r="G51" s="3">
        <f>F51/E50</f>
        <v/>
      </c>
      <c r="H51" s="3" t="n">
        <v>3150245.49</v>
      </c>
      <c r="I51" s="3">
        <f>F51/H51</f>
        <v/>
      </c>
    </row>
    <row r="52">
      <c r="A52" s="3" t="inlineStr">
        <is>
          <t>深交所</t>
        </is>
      </c>
      <c r="B52" s="3" t="inlineStr">
        <is>
          <t>159915</t>
        </is>
      </c>
      <c r="C52" s="3" t="inlineStr">
        <is>
          <t>易方达创业板ETF</t>
        </is>
      </c>
      <c r="D52" s="23" t="n">
        <v>46274</v>
      </c>
      <c r="E52" s="3" t="n">
        <v>1935645.49</v>
      </c>
      <c r="F52" s="3">
        <f>E52-E51</f>
        <v/>
      </c>
      <c r="G52" s="3">
        <f>F52/E51</f>
        <v/>
      </c>
      <c r="H52" s="3" t="n">
        <v>3150245.49</v>
      </c>
      <c r="I52" s="3">
        <f>F52/H52</f>
        <v/>
      </c>
    </row>
    <row r="53">
      <c r="A53" s="3" t="inlineStr">
        <is>
          <t>深交所</t>
        </is>
      </c>
      <c r="B53" s="3" t="inlineStr">
        <is>
          <t>159915</t>
        </is>
      </c>
      <c r="C53" s="3" t="inlineStr">
        <is>
          <t>易方达创业板ETF</t>
        </is>
      </c>
      <c r="D53" s="23" t="n">
        <v>46275</v>
      </c>
      <c r="E53" s="3" t="n">
        <v>1944845.49</v>
      </c>
      <c r="F53" s="3">
        <f>E53-E52</f>
        <v/>
      </c>
      <c r="G53" s="3">
        <f>F53/E52</f>
        <v/>
      </c>
      <c r="H53" s="3" t="n">
        <v>3150245.49</v>
      </c>
      <c r="I53" s="3">
        <f>F53/H53</f>
        <v/>
      </c>
    </row>
    <row r="54">
      <c r="A54" s="3" t="inlineStr">
        <is>
          <t>深交所</t>
        </is>
      </c>
      <c r="B54" s="3" t="inlineStr">
        <is>
          <t>159915</t>
        </is>
      </c>
      <c r="C54" s="3" t="inlineStr">
        <is>
          <t>易方达创业板ETF</t>
        </is>
      </c>
      <c r="D54" s="23" t="n">
        <v>46276</v>
      </c>
      <c r="E54" s="3" t="n">
        <v>1968245.49</v>
      </c>
      <c r="F54" s="3">
        <f>E54-E53</f>
        <v/>
      </c>
      <c r="G54" s="3">
        <f>F54/E53</f>
        <v/>
      </c>
      <c r="H54" s="3" t="n">
        <v>3150245.49</v>
      </c>
      <c r="I54" s="3">
        <f>F54/H54</f>
        <v/>
      </c>
    </row>
    <row r="55">
      <c r="A55" s="3" t="inlineStr">
        <is>
          <t>深交所</t>
        </is>
      </c>
      <c r="B55" s="3" t="inlineStr">
        <is>
          <t>159915</t>
        </is>
      </c>
      <c r="C55" s="3" t="inlineStr">
        <is>
          <t>易方达创业板ETF</t>
        </is>
      </c>
      <c r="D55" s="23" t="n">
        <v>46279</v>
      </c>
      <c r="E55" s="3" t="n">
        <v>1977845.49</v>
      </c>
      <c r="F55" s="3">
        <f>E55-E54</f>
        <v/>
      </c>
      <c r="G55" s="3">
        <f>F55/E54</f>
        <v/>
      </c>
      <c r="H55" s="3" t="n">
        <v>3150245.49</v>
      </c>
      <c r="I55" s="3">
        <f>F55/H55</f>
        <v/>
      </c>
    </row>
    <row r="56">
      <c r="A56" s="3" t="inlineStr">
        <is>
          <t>深交所</t>
        </is>
      </c>
      <c r="B56" s="3" t="inlineStr">
        <is>
          <t>159915</t>
        </is>
      </c>
      <c r="C56" s="3" t="inlineStr">
        <is>
          <t>易方达创业板ETF</t>
        </is>
      </c>
      <c r="D56" s="23" t="n">
        <v>46280</v>
      </c>
      <c r="E56" s="3" t="n">
        <v>2030545.49</v>
      </c>
      <c r="F56" s="3">
        <f>E56-E55</f>
        <v/>
      </c>
      <c r="G56" s="3">
        <f>F56/E55</f>
        <v/>
      </c>
      <c r="H56" s="3" t="n">
        <v>3150245.49</v>
      </c>
      <c r="I56" s="3">
        <f>F56/H56</f>
        <v/>
      </c>
    </row>
    <row r="57">
      <c r="A57" s="3" t="inlineStr">
        <is>
          <t>深交所</t>
        </is>
      </c>
      <c r="B57" s="3" t="inlineStr">
        <is>
          <t>159915</t>
        </is>
      </c>
      <c r="C57" s="3" t="inlineStr">
        <is>
          <t>易方达创业板ETF</t>
        </is>
      </c>
      <c r="D57" s="23" t="n">
        <v>46281</v>
      </c>
      <c r="E57" s="3" t="n">
        <v>2028345.49</v>
      </c>
      <c r="F57" s="3">
        <f>E57-E56</f>
        <v/>
      </c>
      <c r="G57" s="3">
        <f>F57/E56</f>
        <v/>
      </c>
      <c r="H57" s="3" t="n">
        <v>3150245.49</v>
      </c>
      <c r="I57" s="3">
        <f>F57/H57</f>
        <v/>
      </c>
    </row>
    <row r="58">
      <c r="A58" s="3" t="inlineStr">
        <is>
          <t>深交所</t>
        </is>
      </c>
      <c r="B58" s="3" t="inlineStr">
        <is>
          <t>159915</t>
        </is>
      </c>
      <c r="C58" s="3" t="inlineStr">
        <is>
          <t>易方达创业板ETF</t>
        </is>
      </c>
      <c r="D58" s="23" t="n">
        <v>46282</v>
      </c>
      <c r="E58" s="3" t="n">
        <v>1999545.49</v>
      </c>
      <c r="F58" s="3">
        <f>E58-E57</f>
        <v/>
      </c>
      <c r="G58" s="3">
        <f>F58/E57</f>
        <v/>
      </c>
      <c r="H58" s="3" t="n">
        <v>3150245.49</v>
      </c>
      <c r="I58" s="3">
        <f>F58/H58</f>
        <v/>
      </c>
    </row>
    <row r="59">
      <c r="A59" s="3" t="inlineStr">
        <is>
          <t>深交所</t>
        </is>
      </c>
      <c r="B59" s="3" t="inlineStr">
        <is>
          <t>159915</t>
        </is>
      </c>
      <c r="C59" s="3" t="inlineStr">
        <is>
          <t>易方达创业板ETF</t>
        </is>
      </c>
      <c r="D59" s="23" t="n">
        <v>46283</v>
      </c>
      <c r="E59" s="3" t="n">
        <v>1985945.49</v>
      </c>
      <c r="F59" s="3">
        <f>E59-E58</f>
        <v/>
      </c>
      <c r="G59" s="3">
        <f>F59/E58</f>
        <v/>
      </c>
      <c r="H59" s="3" t="n">
        <v>3150245.49</v>
      </c>
      <c r="I59" s="3">
        <f>F59/H59</f>
        <v/>
      </c>
    </row>
    <row r="60">
      <c r="A60" s="3" t="inlineStr">
        <is>
          <t>深交所</t>
        </is>
      </c>
      <c r="B60" s="3" t="inlineStr">
        <is>
          <t>159915</t>
        </is>
      </c>
      <c r="C60" s="3" t="inlineStr">
        <is>
          <t>易方达创业板ETF</t>
        </is>
      </c>
      <c r="D60" s="23" t="n">
        <v>46286</v>
      </c>
      <c r="E60" s="3" t="n">
        <v>1963045.49</v>
      </c>
      <c r="F60" s="3">
        <f>E60-E59</f>
        <v/>
      </c>
      <c r="G60" s="3">
        <f>F60/E59</f>
        <v/>
      </c>
      <c r="H60" s="3" t="n">
        <v>3150245.49</v>
      </c>
      <c r="I60" s="3">
        <f>F60/H60</f>
        <v/>
      </c>
    </row>
    <row r="61">
      <c r="A61" s="3" t="inlineStr">
        <is>
          <t>深交所</t>
        </is>
      </c>
      <c r="B61" s="3" t="inlineStr">
        <is>
          <t>159915</t>
        </is>
      </c>
      <c r="C61" s="3" t="inlineStr">
        <is>
          <t>易方达创业板ETF</t>
        </is>
      </c>
      <c r="D61" s="23" t="n">
        <v>46287</v>
      </c>
      <c r="E61" s="3" t="n">
        <v>1962745.49</v>
      </c>
      <c r="F61" s="3">
        <f>E61-E60</f>
        <v/>
      </c>
      <c r="G61" s="3">
        <f>F61/E60</f>
        <v/>
      </c>
      <c r="H61" s="3" t="n">
        <v>3150245.49</v>
      </c>
      <c r="I61" s="3">
        <f>F61/H61</f>
        <v/>
      </c>
    </row>
    <row r="62">
      <c r="A62" s="3" t="inlineStr">
        <is>
          <t>深交所</t>
        </is>
      </c>
      <c r="B62" s="3" t="inlineStr">
        <is>
          <t>159915</t>
        </is>
      </c>
      <c r="C62" s="3" t="inlineStr">
        <is>
          <t>易方达创业板ETF</t>
        </is>
      </c>
      <c r="D62" s="23" t="n">
        <v>46288</v>
      </c>
      <c r="E62" s="3" t="n">
        <v>1964845.49</v>
      </c>
      <c r="F62" s="3">
        <f>E62-E61</f>
        <v/>
      </c>
      <c r="G62" s="3">
        <f>F62/E61</f>
        <v/>
      </c>
      <c r="H62" s="3" t="n">
        <v>3150245.49</v>
      </c>
      <c r="I62" s="3">
        <f>F62/H62</f>
        <v/>
      </c>
    </row>
    <row r="63">
      <c r="A63" s="3" t="inlineStr">
        <is>
          <t>深交所</t>
        </is>
      </c>
      <c r="B63" s="3" t="inlineStr">
        <is>
          <t>159915</t>
        </is>
      </c>
      <c r="C63" s="3" t="inlineStr">
        <is>
          <t>易方达创业板ETF</t>
        </is>
      </c>
      <c r="D63" s="23" t="n">
        <v>46289</v>
      </c>
      <c r="E63" s="3" t="n">
        <v>1996345.49</v>
      </c>
      <c r="F63" s="3">
        <f>E63-E62</f>
        <v/>
      </c>
      <c r="G63" s="3">
        <f>F63/E62</f>
        <v/>
      </c>
      <c r="H63" s="3" t="n">
        <v>3150245.49</v>
      </c>
      <c r="I63" s="3">
        <f>F63/H63</f>
        <v/>
      </c>
    </row>
    <row r="64">
      <c r="A64" s="3" t="inlineStr">
        <is>
          <t>深交所</t>
        </is>
      </c>
      <c r="B64" s="3" t="inlineStr">
        <is>
          <t>159915</t>
        </is>
      </c>
      <c r="C64" s="3" t="inlineStr">
        <is>
          <t>易方达创业板ETF</t>
        </is>
      </c>
      <c r="D64" s="23" t="n">
        <v>46293</v>
      </c>
      <c r="E64" s="3" t="n">
        <v>2086445.49</v>
      </c>
      <c r="F64" s="3">
        <f>E64-E63</f>
        <v/>
      </c>
      <c r="G64" s="3">
        <f>F64/E63</f>
        <v/>
      </c>
      <c r="H64" s="3" t="n">
        <v>3150245.49</v>
      </c>
      <c r="I64" s="3">
        <f>F64/H64</f>
        <v/>
      </c>
    </row>
    <row r="65">
      <c r="A65" s="3" t="inlineStr">
        <is>
          <t>深交所</t>
        </is>
      </c>
      <c r="B65" s="3" t="inlineStr">
        <is>
          <t>159915</t>
        </is>
      </c>
      <c r="C65" s="3" t="inlineStr">
        <is>
          <t>易方达创业板ETF</t>
        </is>
      </c>
      <c r="D65" s="23" t="n">
        <v>46294</v>
      </c>
      <c r="E65" s="3" t="n">
        <v>2073045.49</v>
      </c>
      <c r="F65" s="3">
        <f>E65-E64</f>
        <v/>
      </c>
      <c r="G65" s="3">
        <f>F65/E64</f>
        <v/>
      </c>
      <c r="H65" s="3" t="n">
        <v>3150245.49</v>
      </c>
      <c r="I65" s="3">
        <f>F65/H65</f>
        <v/>
      </c>
    </row>
    <row r="66">
      <c r="A66" s="3" t="inlineStr">
        <is>
          <t>深交所</t>
        </is>
      </c>
      <c r="B66" s="3" t="inlineStr">
        <is>
          <t>159915</t>
        </is>
      </c>
      <c r="C66" s="3" t="inlineStr">
        <is>
          <t>易方达创业板ETF</t>
        </is>
      </c>
      <c r="D66" s="23" t="n">
        <v>46295</v>
      </c>
      <c r="E66" s="3" t="n">
        <v>2060945.49</v>
      </c>
      <c r="F66" s="3">
        <f>E66-E65</f>
        <v/>
      </c>
      <c r="G66" s="3">
        <f>F66/E65</f>
        <v/>
      </c>
      <c r="H66" s="3" t="n">
        <v>3150245.49</v>
      </c>
      <c r="I66" s="3">
        <f>F66/H66</f>
        <v/>
      </c>
    </row>
    <row r="67">
      <c r="A67" s="3" t="inlineStr">
        <is>
          <t>深交所</t>
        </is>
      </c>
      <c r="B67" s="3" t="inlineStr">
        <is>
          <t>159915</t>
        </is>
      </c>
      <c r="C67" s="3" t="inlineStr">
        <is>
          <t>易方达创业板ETF</t>
        </is>
      </c>
      <c r="D67" s="23" t="n">
        <v>46303</v>
      </c>
      <c r="E67" s="3" t="n">
        <v>2130845.49</v>
      </c>
      <c r="F67" s="3">
        <f>E67-E66</f>
        <v/>
      </c>
      <c r="G67" s="3">
        <f>F67/E66</f>
        <v/>
      </c>
      <c r="H67" s="3" t="n">
        <v>3150245.49</v>
      </c>
      <c r="I67" s="3">
        <f>F67/H67</f>
        <v/>
      </c>
    </row>
    <row r="68">
      <c r="A68" s="3" t="inlineStr">
        <is>
          <t>深交所</t>
        </is>
      </c>
      <c r="B68" s="3" t="inlineStr">
        <is>
          <t>159915</t>
        </is>
      </c>
      <c r="C68" s="3" t="inlineStr">
        <is>
          <t>易方达创业板ETF</t>
        </is>
      </c>
      <c r="D68" s="23" t="n">
        <v>46304</v>
      </c>
      <c r="E68" s="3" t="n">
        <v>2202245.49</v>
      </c>
      <c r="F68" s="3">
        <f>E68-E67</f>
        <v/>
      </c>
      <c r="G68" s="3">
        <f>F68/E67</f>
        <v/>
      </c>
      <c r="H68" s="3" t="n">
        <v>3150245.49</v>
      </c>
      <c r="I68" s="3">
        <f>F68/H68</f>
        <v/>
      </c>
    </row>
    <row r="69">
      <c r="A69" s="3" t="inlineStr">
        <is>
          <t>深交所</t>
        </is>
      </c>
      <c r="B69" s="3" t="inlineStr">
        <is>
          <t>159915</t>
        </is>
      </c>
      <c r="C69" s="3" t="inlineStr">
        <is>
          <t>易方达创业板ETF</t>
        </is>
      </c>
      <c r="D69" s="23" t="n">
        <v>46307</v>
      </c>
      <c r="E69" s="3" t="n">
        <v>2222645.49</v>
      </c>
      <c r="F69" s="3">
        <f>E69-E68</f>
        <v/>
      </c>
      <c r="G69" s="3">
        <f>F69/E68</f>
        <v/>
      </c>
      <c r="H69" s="3" t="n">
        <v>3150245.49</v>
      </c>
      <c r="I69" s="3">
        <f>F69/H69</f>
        <v/>
      </c>
    </row>
    <row r="70">
      <c r="A70" s="3" t="inlineStr">
        <is>
          <t>深交所</t>
        </is>
      </c>
      <c r="B70" s="3" t="inlineStr">
        <is>
          <t>159915</t>
        </is>
      </c>
      <c r="C70" s="3" t="inlineStr">
        <is>
          <t>易方达创业板ETF</t>
        </is>
      </c>
      <c r="D70" s="23" t="n">
        <v>46308</v>
      </c>
      <c r="E70" s="3" t="n">
        <v>2295945.49</v>
      </c>
      <c r="F70" s="3">
        <f>E70-E69</f>
        <v/>
      </c>
      <c r="G70" s="3">
        <f>F70/E69</f>
        <v/>
      </c>
      <c r="H70" s="3" t="n">
        <v>3150245.49</v>
      </c>
      <c r="I70" s="3">
        <f>F70/H70</f>
        <v/>
      </c>
    </row>
    <row r="71">
      <c r="A71" s="3" t="inlineStr">
        <is>
          <t>深交所</t>
        </is>
      </c>
      <c r="B71" s="3" t="inlineStr">
        <is>
          <t>159915</t>
        </is>
      </c>
      <c r="C71" s="3" t="inlineStr">
        <is>
          <t>易方达创业板ETF</t>
        </is>
      </c>
      <c r="D71" s="23" t="n">
        <v>46309</v>
      </c>
      <c r="E71" s="3" t="n">
        <v>2349745.49</v>
      </c>
      <c r="F71" s="3">
        <f>E71-E70</f>
        <v/>
      </c>
      <c r="G71" s="3">
        <f>F71/E70</f>
        <v/>
      </c>
      <c r="H71" s="3" t="n">
        <v>3150245.49</v>
      </c>
      <c r="I71" s="3">
        <f>F71/H71</f>
        <v/>
      </c>
    </row>
    <row r="72">
      <c r="A72" s="3" t="inlineStr">
        <is>
          <t>深交所</t>
        </is>
      </c>
      <c r="B72" s="3" t="inlineStr">
        <is>
          <t>159915</t>
        </is>
      </c>
      <c r="C72" s="3" t="inlineStr">
        <is>
          <t>易方达创业板ETF</t>
        </is>
      </c>
      <c r="D72" s="23" t="n">
        <v>46310</v>
      </c>
      <c r="E72" s="3" t="n">
        <v>2547045.49</v>
      </c>
      <c r="F72" s="3">
        <f>E72-E71</f>
        <v/>
      </c>
      <c r="G72" s="3">
        <f>F72/E71</f>
        <v/>
      </c>
      <c r="H72" s="3" t="n">
        <v>3150245.49</v>
      </c>
      <c r="I72" s="3">
        <f>F72/H72</f>
        <v/>
      </c>
    </row>
    <row r="73">
      <c r="A73" s="3" t="inlineStr">
        <is>
          <t>深交所</t>
        </is>
      </c>
      <c r="B73" s="3" t="inlineStr">
        <is>
          <t>159915</t>
        </is>
      </c>
      <c r="C73" s="3" t="inlineStr">
        <is>
          <t>易方达创业板ETF</t>
        </is>
      </c>
      <c r="D73" s="23" t="n">
        <v>46311</v>
      </c>
      <c r="E73" s="3" t="n">
        <v>2593645.49</v>
      </c>
      <c r="F73" s="3">
        <f>E73-E72</f>
        <v/>
      </c>
      <c r="G73" s="3">
        <f>F73/E72</f>
        <v/>
      </c>
      <c r="H73" s="3" t="n">
        <v>3150245.49</v>
      </c>
      <c r="I73" s="3">
        <f>F73/H73</f>
        <v/>
      </c>
    </row>
    <row r="74">
      <c r="A74" s="3" t="inlineStr">
        <is>
          <t>深交所</t>
        </is>
      </c>
      <c r="B74" s="3" t="inlineStr">
        <is>
          <t>159915</t>
        </is>
      </c>
      <c r="C74" s="3" t="inlineStr">
        <is>
          <t>易方达创业板ETF</t>
        </is>
      </c>
      <c r="D74" s="23" t="n">
        <v>46314</v>
      </c>
      <c r="E74" s="3" t="n">
        <v>2673645.49</v>
      </c>
      <c r="F74" s="3">
        <f>E74-E73</f>
        <v/>
      </c>
      <c r="G74" s="3">
        <f>F74/E73</f>
        <v/>
      </c>
      <c r="H74" s="3" t="n">
        <v>3150245.49</v>
      </c>
      <c r="I74" s="3">
        <f>F74/H74</f>
        <v/>
      </c>
    </row>
    <row r="75">
      <c r="A75" s="3" t="inlineStr">
        <is>
          <t>深交所</t>
        </is>
      </c>
      <c r="B75" s="3" t="inlineStr">
        <is>
          <t>159915</t>
        </is>
      </c>
      <c r="C75" s="3" t="inlineStr">
        <is>
          <t>易方达创业板ETF</t>
        </is>
      </c>
      <c r="D75" s="23" t="n">
        <v>46315</v>
      </c>
      <c r="E75" s="3" t="n">
        <v>2734345.49</v>
      </c>
      <c r="F75" s="3">
        <f>E75-E74</f>
        <v/>
      </c>
      <c r="G75" s="3">
        <f>F75/E74</f>
        <v/>
      </c>
      <c r="H75" s="3" t="n">
        <v>3150245.49</v>
      </c>
      <c r="I75" s="3">
        <f>F75/H75</f>
        <v/>
      </c>
    </row>
    <row r="76">
      <c r="A76" s="3" t="inlineStr">
        <is>
          <t>深交所</t>
        </is>
      </c>
      <c r="B76" s="3" t="inlineStr">
        <is>
          <t>159915</t>
        </is>
      </c>
      <c r="C76" s="3" t="inlineStr">
        <is>
          <t>易方达创业板ETF</t>
        </is>
      </c>
      <c r="D76" s="23" t="n">
        <v>46316</v>
      </c>
      <c r="E76" s="3" t="n">
        <v>2920445.49</v>
      </c>
      <c r="F76" s="3">
        <f>E76-E75</f>
        <v/>
      </c>
      <c r="G76" s="3">
        <f>F76/E75</f>
        <v/>
      </c>
      <c r="H76" s="3" t="n">
        <v>3150245.49</v>
      </c>
      <c r="I76" s="3">
        <f>F76/H76</f>
        <v/>
      </c>
    </row>
    <row r="77">
      <c r="A77" s="3" t="inlineStr">
        <is>
          <t>深交所</t>
        </is>
      </c>
      <c r="B77" s="3" t="inlineStr">
        <is>
          <t>159915</t>
        </is>
      </c>
      <c r="C77" s="3" t="inlineStr">
        <is>
          <t>易方达创业板ETF</t>
        </is>
      </c>
      <c r="D77" s="23" t="n">
        <v>46317</v>
      </c>
      <c r="E77" s="3" t="n">
        <v>3130545.49</v>
      </c>
      <c r="F77" s="3">
        <f>E77-E76</f>
        <v/>
      </c>
      <c r="G77" s="3">
        <f>F77/E76</f>
        <v/>
      </c>
      <c r="H77" s="3" t="n">
        <v>3150245.49</v>
      </c>
      <c r="I77" s="3">
        <f>F77/H77</f>
        <v/>
      </c>
    </row>
    <row r="78">
      <c r="A78" s="3" t="inlineStr">
        <is>
          <t>深交所</t>
        </is>
      </c>
      <c r="B78" s="3" t="inlineStr">
        <is>
          <t>159915</t>
        </is>
      </c>
      <c r="C78" s="3" t="inlineStr">
        <is>
          <t>易方达创业板ETF</t>
        </is>
      </c>
      <c r="D78" s="23" t="n">
        <v>46318</v>
      </c>
      <c r="E78" s="3" t="n">
        <v>3375745.49</v>
      </c>
      <c r="F78" s="3">
        <f>E78-E77</f>
        <v/>
      </c>
      <c r="G78" s="3">
        <f>F78/E77</f>
        <v/>
      </c>
      <c r="H78" s="3" t="n">
        <v>3150245.49</v>
      </c>
      <c r="I78" s="3">
        <f>F78/H78</f>
        <v/>
      </c>
    </row>
    <row r="79">
      <c r="A79" s="3" t="inlineStr">
        <is>
          <t>深交所</t>
        </is>
      </c>
      <c r="B79" s="3" t="inlineStr">
        <is>
          <t>159915</t>
        </is>
      </c>
      <c r="C79" s="3" t="inlineStr">
        <is>
          <t>易方达创业板ETF</t>
        </is>
      </c>
      <c r="D79" s="23" t="n">
        <v>46321</v>
      </c>
      <c r="E79" s="3" t="n">
        <v>3470745.49</v>
      </c>
      <c r="F79" s="3">
        <f>E79-E78</f>
        <v/>
      </c>
      <c r="G79" s="3">
        <f>F79/E78</f>
        <v/>
      </c>
      <c r="H79" s="3" t="n">
        <v>3150245.49</v>
      </c>
      <c r="I79" s="3">
        <f>F79/H79</f>
        <v/>
      </c>
    </row>
    <row r="80">
      <c r="A80" s="3" t="inlineStr">
        <is>
          <t>深交所</t>
        </is>
      </c>
      <c r="B80" s="3" t="inlineStr">
        <is>
          <t>159915</t>
        </is>
      </c>
      <c r="C80" s="3" t="inlineStr">
        <is>
          <t>易方达创业板ETF</t>
        </is>
      </c>
      <c r="D80" s="23" t="n">
        <v>46322</v>
      </c>
      <c r="E80" s="3" t="n">
        <v>3514445.49</v>
      </c>
      <c r="F80" s="3">
        <f>E80-E79</f>
        <v/>
      </c>
      <c r="G80" s="3">
        <f>F80/E79</f>
        <v/>
      </c>
      <c r="H80" s="3" t="n">
        <v>3150245.49</v>
      </c>
      <c r="I80" s="3">
        <f>F80/H80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2026-08-04T09:50:13Z</dcterms:created>
  <dcterms:modified xsi:type="dcterms:W3CDTF">2026-10-28T07:06:00Z</dcterms:modified>
</cp:coreProperties>
</file>