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510050</t>
        </is>
      </c>
      <c r="C65" s="3" t="inlineStr">
        <is>
          <t>上证50华夏</t>
        </is>
      </c>
      <c r="D65" s="23" t="n">
        <v>46309</v>
      </c>
      <c r="E65" s="3" t="n">
        <v>731586.6800000001</v>
      </c>
      <c r="F65" s="3">
        <f>E65-E64</f>
        <v/>
      </c>
      <c r="G65" s="3">
        <f>F65/E64</f>
        <v/>
      </c>
      <c r="H65" s="3" t="n">
        <v>5666466.68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510050</t>
        </is>
      </c>
      <c r="C66" s="3" t="inlineStr">
        <is>
          <t>上证50华夏</t>
        </is>
      </c>
      <c r="D66" s="23" t="n">
        <v>46310</v>
      </c>
      <c r="E66" s="3" t="n">
        <v>760296.6800000001</v>
      </c>
      <c r="F66" s="3">
        <f>E66-E65</f>
        <v/>
      </c>
      <c r="G66" s="3">
        <f>F66/E65</f>
        <v/>
      </c>
      <c r="H66" s="3" t="n">
        <v>5666466.68</v>
      </c>
      <c r="I66" s="3">
        <f>F66/H66</f>
        <v/>
      </c>
    </row>
    <row r="67">
      <c r="A67" t="inlineStr">
        <is>
          <t>上交所</t>
        </is>
      </c>
      <c r="B67" t="inlineStr">
        <is>
          <t>510050</t>
        </is>
      </c>
      <c r="C67" t="inlineStr">
        <is>
          <t>上证50华夏</t>
        </is>
      </c>
      <c r="D67" s="23" t="n">
        <v>46311</v>
      </c>
      <c r="E67" t="n">
        <v>891606.6800000001</v>
      </c>
      <c r="F67">
        <f>E67-E66</f>
        <v/>
      </c>
      <c r="G67">
        <f>F67/E66</f>
        <v/>
      </c>
      <c r="H67" t="n">
        <v>5666466.68</v>
      </c>
      <c r="I67">
        <f>F67/H67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159919</t>
        </is>
      </c>
      <c r="C71" s="3" t="inlineStr">
        <is>
          <t>沪深300ETF嘉实</t>
        </is>
      </c>
      <c r="D71" s="23" t="n">
        <v>46309</v>
      </c>
      <c r="E71" s="3" t="n">
        <v>683931.66</v>
      </c>
      <c r="F71" s="3">
        <f>E71-E70</f>
        <v/>
      </c>
      <c r="G71" s="3">
        <f>F71/E70</f>
        <v/>
      </c>
      <c r="H71" s="3" t="n">
        <v>4081881.66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159919</t>
        </is>
      </c>
      <c r="C72" s="3" t="inlineStr">
        <is>
          <t>沪深300ETF嘉实</t>
        </is>
      </c>
      <c r="D72" s="23" t="n">
        <v>46310</v>
      </c>
      <c r="E72" s="3" t="n">
        <v>685191.66</v>
      </c>
      <c r="F72" s="3">
        <f>E72-E71</f>
        <v/>
      </c>
      <c r="G72" s="3">
        <f>F72/E71</f>
        <v/>
      </c>
      <c r="H72" s="3" t="n">
        <v>4081881.66</v>
      </c>
      <c r="I72" s="3">
        <f>F72/H72</f>
        <v/>
      </c>
    </row>
    <row r="73">
      <c r="A73" t="inlineStr">
        <is>
          <t>深交所</t>
        </is>
      </c>
      <c r="B73" t="inlineStr">
        <is>
          <t>159919</t>
        </is>
      </c>
      <c r="C73" t="inlineStr">
        <is>
          <t>沪深300ETF嘉实</t>
        </is>
      </c>
      <c r="D73" s="23" t="n">
        <v>46311</v>
      </c>
      <c r="E73" t="n">
        <v>692931.66</v>
      </c>
      <c r="F73">
        <f>E73-E72</f>
        <v/>
      </c>
      <c r="G73">
        <f>F73/E72</f>
        <v/>
      </c>
      <c r="H73" t="n">
        <v>4081881.66</v>
      </c>
      <c r="I73">
        <f>F73/H73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s="3" t="inlineStr">
        <is>
          <t>上交所</t>
        </is>
      </c>
      <c r="B65" s="3" t="inlineStr">
        <is>
          <t>510300</t>
        </is>
      </c>
      <c r="C65" s="3" t="inlineStr">
        <is>
          <t>沪深300etf华泰柏瑞</t>
        </is>
      </c>
      <c r="D65" s="23" t="n">
        <v>46309</v>
      </c>
      <c r="E65" s="3" t="n">
        <v>2469018.77</v>
      </c>
      <c r="F65" s="3">
        <f>E65-E64</f>
        <v/>
      </c>
      <c r="G65" s="3">
        <f>F65/E64</f>
        <v/>
      </c>
      <c r="H65" s="3" t="n">
        <v>8882958.77</v>
      </c>
      <c r="I65" s="3">
        <f>F65/H65</f>
        <v/>
      </c>
    </row>
    <row r="66">
      <c r="A66" s="3" t="inlineStr">
        <is>
          <t>上交所</t>
        </is>
      </c>
      <c r="B66" s="3" t="inlineStr">
        <is>
          <t>510300</t>
        </is>
      </c>
      <c r="C66" s="3" t="inlineStr">
        <is>
          <t>沪深300etf华泰柏瑞</t>
        </is>
      </c>
      <c r="D66" s="23" t="n">
        <v>46310</v>
      </c>
      <c r="E66" s="3" t="n">
        <v>2548488.77</v>
      </c>
      <c r="F66" s="3">
        <f>E66-E65</f>
        <v/>
      </c>
      <c r="G66" s="3">
        <f>F66/E65</f>
        <v/>
      </c>
      <c r="H66" s="3" t="n">
        <v>8882958.77</v>
      </c>
      <c r="I66" s="3">
        <f>F66/H66</f>
        <v/>
      </c>
    </row>
    <row r="67">
      <c r="A67" t="inlineStr">
        <is>
          <t>上交所</t>
        </is>
      </c>
      <c r="B67" t="inlineStr">
        <is>
          <t>510300</t>
        </is>
      </c>
      <c r="C67" t="inlineStr">
        <is>
          <t>沪深300etf华泰柏瑞</t>
        </is>
      </c>
      <c r="D67" s="23" t="n">
        <v>46311</v>
      </c>
      <c r="E67" t="n">
        <v>2855298.77</v>
      </c>
      <c r="F67">
        <f>E67-E66</f>
        <v/>
      </c>
      <c r="G67">
        <f>F67/E66</f>
        <v/>
      </c>
      <c r="H67" t="n">
        <v>8882958.77</v>
      </c>
      <c r="I67">
        <f>F67/H67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连续4日增持</t>
        </is>
      </c>
      <c r="I2" s="13">
        <f>SUM(INDEX('510050'!$I:$I,COUNTA('510050'!$E:$E)-4+1):INDEX('510050'!$I:$I,COUNTA('510050'!$E:$E)))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连续2日增持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连续2日增持</t>
        </is>
      </c>
      <c r="I4" s="13">
        <f>SUM(INDEX('159919'!$I:$I,COUNTA('159919'!$E:$E)-2+1):INDEX('159919'!$I:$I,COUNTA('159919'!$E:$E)))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连续7日增持</t>
        </is>
      </c>
      <c r="I5" s="13">
        <f>SUM(INDEX('159915'!$I:$I,COUNTA('159915'!$E:$E)-7+1):INDEX('159915'!$I:$I,COUNTA('159915'!$E:$E)))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3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s="3" t="inlineStr">
        <is>
          <t>深交所</t>
        </is>
      </c>
      <c r="B71" s="3" t="inlineStr">
        <is>
          <t>159915</t>
        </is>
      </c>
      <c r="C71" s="3" t="inlineStr">
        <is>
          <t>易方达创业板ETF</t>
        </is>
      </c>
      <c r="D71" s="23" t="n">
        <v>46309</v>
      </c>
      <c r="E71" s="3" t="n">
        <v>2349745.49</v>
      </c>
      <c r="F71" s="3">
        <f>E71-E70</f>
        <v/>
      </c>
      <c r="G71" s="3">
        <f>F71/E70</f>
        <v/>
      </c>
      <c r="H71" s="3" t="n">
        <v>3150245.49</v>
      </c>
      <c r="I71" s="3">
        <f>F71/H71</f>
        <v/>
      </c>
    </row>
    <row r="72">
      <c r="A72" s="3" t="inlineStr">
        <is>
          <t>深交所</t>
        </is>
      </c>
      <c r="B72" s="3" t="inlineStr">
        <is>
          <t>159915</t>
        </is>
      </c>
      <c r="C72" s="3" t="inlineStr">
        <is>
          <t>易方达创业板ETF</t>
        </is>
      </c>
      <c r="D72" s="23" t="n">
        <v>46310</v>
      </c>
      <c r="E72" s="3" t="n">
        <v>2547045.49</v>
      </c>
      <c r="F72" s="3">
        <f>E72-E71</f>
        <v/>
      </c>
      <c r="G72" s="3">
        <f>F72/E71</f>
        <v/>
      </c>
      <c r="H72" s="3" t="n">
        <v>3150245.49</v>
      </c>
      <c r="I72" s="3">
        <f>F72/H72</f>
        <v/>
      </c>
    </row>
    <row r="73">
      <c r="A73" t="inlineStr">
        <is>
          <t>深交所</t>
        </is>
      </c>
      <c r="B73" t="inlineStr">
        <is>
          <t>159915</t>
        </is>
      </c>
      <c r="C73" t="inlineStr">
        <is>
          <t>易方达创业板ETF</t>
        </is>
      </c>
      <c r="D73" s="23" t="n">
        <v>46311</v>
      </c>
      <c r="E73" t="n">
        <v>2593645.49</v>
      </c>
      <c r="F73">
        <f>E73-E72</f>
        <v/>
      </c>
      <c r="G73">
        <f>F73/E72</f>
        <v/>
      </c>
      <c r="H73" t="n">
        <v>3150245.49</v>
      </c>
      <c r="I73">
        <f>F73/H73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2026-10-19T00:00:55Z</dcterms:modified>
</cp:coreProperties>
</file>