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t="inlineStr">
        <is>
          <t>深交所</t>
        </is>
      </c>
      <c r="B36" t="inlineStr">
        <is>
          <t>159919</t>
        </is>
      </c>
      <c r="C36" t="inlineStr">
        <is>
          <t>沪深300ETF嘉实</t>
        </is>
      </c>
      <c r="D36" s="23" t="n">
        <v>46252</v>
      </c>
      <c r="E36" t="n">
        <v>613281.66</v>
      </c>
      <c r="F36">
        <f>E36-E35</f>
        <v/>
      </c>
      <c r="G36">
        <f>F36/E35</f>
        <v/>
      </c>
      <c r="H36" t="n">
        <v>4081881.66</v>
      </c>
      <c r="I36">
        <f>F36/H36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连续8日减持</t>
        </is>
      </c>
      <c r="I3" s="13">
        <f>SUM(INDEX('510300'!$I:$I,COUNTA('510300'!$E:$E)-8+1):INDEX('510300'!$I:$I,COUNTA('510300'!$E:$E)))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连续5日减持</t>
        </is>
      </c>
      <c r="I4" s="13">
        <f>SUM(INDEX('159919'!$I:$I,COUNTA('159919'!$E:$E)-5+1):INDEX('159919'!$I:$I,COUNTA('159919'!$E:$E)))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t="inlineStr">
        <is>
          <t>深交所</t>
        </is>
      </c>
      <c r="B36" t="inlineStr">
        <is>
          <t>159915</t>
        </is>
      </c>
      <c r="C36" t="inlineStr">
        <is>
          <t>易方达创业板ETF</t>
        </is>
      </c>
      <c r="D36" s="23" t="n">
        <v>46252</v>
      </c>
      <c r="E36" t="n">
        <v>1719145.49</v>
      </c>
      <c r="F36">
        <f>E36-E35</f>
        <v/>
      </c>
      <c r="G36">
        <f>F36/E35</f>
        <v/>
      </c>
      <c r="H36" t="n">
        <v>3150245.49</v>
      </c>
      <c r="I36">
        <f>F36/H36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2026-08-19T02:37:54Z</dcterms:modified>
</cp:coreProperties>
</file>