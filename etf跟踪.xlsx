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510050</t>
        </is>
      </c>
      <c r="C52" s="3" t="inlineStr">
        <is>
          <t>上证50华夏</t>
        </is>
      </c>
      <c r="D52" s="23" t="n">
        <v>46282</v>
      </c>
      <c r="E52" s="3" t="n">
        <v>779016.6800000001</v>
      </c>
      <c r="F52" s="3">
        <f>E52-E51</f>
        <v/>
      </c>
      <c r="G52" s="3">
        <f>F52/E51</f>
        <v/>
      </c>
      <c r="H52" s="3" t="n">
        <v>5666466.68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510050</t>
        </is>
      </c>
      <c r="C53" s="3" t="inlineStr">
        <is>
          <t>上证50华夏</t>
        </is>
      </c>
      <c r="D53" s="23" t="n">
        <v>46283</v>
      </c>
      <c r="E53" s="3" t="n">
        <v>796026.6800000001</v>
      </c>
      <c r="F53" s="3">
        <f>E53-E52</f>
        <v/>
      </c>
      <c r="G53" s="3">
        <f>F53/E52</f>
        <v/>
      </c>
      <c r="H53" s="3" t="n">
        <v>5666466.68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510050</t>
        </is>
      </c>
      <c r="C54" s="3" t="inlineStr">
        <is>
          <t>上证50华夏</t>
        </is>
      </c>
      <c r="D54" s="23" t="n">
        <v>46286</v>
      </c>
      <c r="E54" s="3" t="n">
        <v>768936.6800000001</v>
      </c>
      <c r="F54" s="3">
        <f>E54-E53</f>
        <v/>
      </c>
      <c r="G54" s="3">
        <f>F54/E53</f>
        <v/>
      </c>
      <c r="H54" s="3" t="n">
        <v>5666466.68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510050</t>
        </is>
      </c>
      <c r="C55" s="3" t="inlineStr">
        <is>
          <t>上证50华夏</t>
        </is>
      </c>
      <c r="D55" s="23" t="n">
        <v>46287</v>
      </c>
      <c r="E55" s="3" t="n">
        <v>747606.6800000001</v>
      </c>
      <c r="F55" s="3">
        <f>E55-E54</f>
        <v/>
      </c>
      <c r="G55" s="3">
        <f>F55/E54</f>
        <v/>
      </c>
      <c r="H55" s="3" t="n">
        <v>5666466.68</v>
      </c>
      <c r="I55" s="3">
        <f>F55/H55</f>
        <v/>
      </c>
    </row>
    <row r="56">
      <c r="A56" t="inlineStr">
        <is>
          <t>上交所</t>
        </is>
      </c>
      <c r="B56" t="inlineStr">
        <is>
          <t>510050</t>
        </is>
      </c>
      <c r="C56" t="inlineStr">
        <is>
          <t>上证50华夏</t>
        </is>
      </c>
      <c r="D56" s="23" t="n">
        <v>46288</v>
      </c>
      <c r="E56" t="n">
        <v>737976.6800000001</v>
      </c>
      <c r="F56">
        <f>E56-E55</f>
        <v/>
      </c>
      <c r="G56">
        <f>F56/E55</f>
        <v/>
      </c>
      <c r="H56" t="n">
        <v>5666466.68</v>
      </c>
      <c r="I56">
        <f>F56/H56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159919</t>
        </is>
      </c>
      <c r="C57" s="3" t="inlineStr">
        <is>
          <t>沪深300ETF嘉实</t>
        </is>
      </c>
      <c r="D57" s="23" t="n">
        <v>46281</v>
      </c>
      <c r="E57" s="3" t="n">
        <v>634161.66</v>
      </c>
      <c r="F57" s="3">
        <f>E57-E56</f>
        <v/>
      </c>
      <c r="G57" s="3">
        <f>F57/E56</f>
        <v/>
      </c>
      <c r="H57" s="3" t="n">
        <v>4081881.66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159919</t>
        </is>
      </c>
      <c r="C58" s="3" t="inlineStr">
        <is>
          <t>沪深300ETF嘉实</t>
        </is>
      </c>
      <c r="D58" s="23" t="n">
        <v>46282</v>
      </c>
      <c r="E58" s="3" t="n">
        <v>634071.66</v>
      </c>
      <c r="F58" s="3">
        <f>E58-E57</f>
        <v/>
      </c>
      <c r="G58" s="3">
        <f>F58/E57</f>
        <v/>
      </c>
      <c r="H58" s="3" t="n">
        <v>4081881.66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159919</t>
        </is>
      </c>
      <c r="C59" s="3" t="inlineStr">
        <is>
          <t>沪深300ETF嘉实</t>
        </is>
      </c>
      <c r="D59" s="23" t="n">
        <v>46283</v>
      </c>
      <c r="E59" s="3" t="n">
        <v>632901.66</v>
      </c>
      <c r="F59" s="3">
        <f>E59-E58</f>
        <v/>
      </c>
      <c r="G59" s="3">
        <f>F59/E58</f>
        <v/>
      </c>
      <c r="H59" s="3" t="n">
        <v>4081881.66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159919</t>
        </is>
      </c>
      <c r="C60" s="3" t="inlineStr">
        <is>
          <t>沪深300ETF嘉实</t>
        </is>
      </c>
      <c r="D60" s="23" t="n">
        <v>46286</v>
      </c>
      <c r="E60" s="3" t="n">
        <v>633171.66</v>
      </c>
      <c r="F60" s="3">
        <f>E60-E59</f>
        <v/>
      </c>
      <c r="G60" s="3">
        <f>F60/E59</f>
        <v/>
      </c>
      <c r="H60" s="3" t="n">
        <v>4081881.66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159919</t>
        </is>
      </c>
      <c r="C61" s="3" t="inlineStr">
        <is>
          <t>沪深300ETF嘉实</t>
        </is>
      </c>
      <c r="D61" s="23" t="n">
        <v>46287</v>
      </c>
      <c r="E61" s="3" t="n">
        <v>644511.66</v>
      </c>
      <c r="F61" s="3">
        <f>E61-E60</f>
        <v/>
      </c>
      <c r="G61" s="3">
        <f>F61/E60</f>
        <v/>
      </c>
      <c r="H61" s="3" t="n">
        <v>4081881.66</v>
      </c>
      <c r="I61" s="3">
        <f>F61/H61</f>
        <v/>
      </c>
    </row>
    <row r="62">
      <c r="A62" t="inlineStr">
        <is>
          <t>深交所</t>
        </is>
      </c>
      <c r="B62" t="inlineStr">
        <is>
          <t>159919</t>
        </is>
      </c>
      <c r="C62" t="inlineStr">
        <is>
          <t>沪深300ETF嘉实</t>
        </is>
      </c>
      <c r="D62" s="23" t="n">
        <v>46288</v>
      </c>
      <c r="E62" t="n">
        <v>651891.66</v>
      </c>
      <c r="F62">
        <f>E62-E61</f>
        <v/>
      </c>
      <c r="G62">
        <f>F62/E61</f>
        <v/>
      </c>
      <c r="H62" t="n">
        <v>4081881.66</v>
      </c>
      <c r="I62">
        <f>F62/H62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6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  <row r="52">
      <c r="A52" s="3" t="inlineStr">
        <is>
          <t>上交所</t>
        </is>
      </c>
      <c r="B52" s="3" t="inlineStr">
        <is>
          <t>510300</t>
        </is>
      </c>
      <c r="C52" s="3" t="inlineStr">
        <is>
          <t>沪深300etf华泰柏瑞</t>
        </is>
      </c>
      <c r="D52" s="23" t="n">
        <v>46282</v>
      </c>
      <c r="E52" s="3" t="n">
        <v>2370108.77</v>
      </c>
      <c r="F52" s="3">
        <f>E52-E51</f>
        <v/>
      </c>
      <c r="G52" s="3">
        <f>F52/E51</f>
        <v/>
      </c>
      <c r="H52" s="3" t="n">
        <v>8882958.77</v>
      </c>
      <c r="I52" s="3">
        <f>F52/H52</f>
        <v/>
      </c>
    </row>
    <row r="53">
      <c r="A53" s="3" t="inlineStr">
        <is>
          <t>上交所</t>
        </is>
      </c>
      <c r="B53" s="3" t="inlineStr">
        <is>
          <t>510300</t>
        </is>
      </c>
      <c r="C53" s="3" t="inlineStr">
        <is>
          <t>沪深300etf华泰柏瑞</t>
        </is>
      </c>
      <c r="D53" s="23" t="n">
        <v>46283</v>
      </c>
      <c r="E53" s="3" t="n">
        <v>2365968.77</v>
      </c>
      <c r="F53" s="3">
        <f>E53-E52</f>
        <v/>
      </c>
      <c r="G53" s="3">
        <f>F53/E52</f>
        <v/>
      </c>
      <c r="H53" s="3" t="n">
        <v>8882958.77</v>
      </c>
      <c r="I53" s="3">
        <f>F53/H53</f>
        <v/>
      </c>
    </row>
    <row r="54">
      <c r="A54" s="3" t="inlineStr">
        <is>
          <t>上交所</t>
        </is>
      </c>
      <c r="B54" s="3" t="inlineStr">
        <is>
          <t>510300</t>
        </is>
      </c>
      <c r="C54" s="3" t="inlineStr">
        <is>
          <t>沪深300etf华泰柏瑞</t>
        </is>
      </c>
      <c r="D54" s="23" t="n">
        <v>46286</v>
      </c>
      <c r="E54" s="3" t="n">
        <v>2371368.77</v>
      </c>
      <c r="F54" s="3">
        <f>E54-E53</f>
        <v/>
      </c>
      <c r="G54" s="3">
        <f>F54/E53</f>
        <v/>
      </c>
      <c r="H54" s="3" t="n">
        <v>8882958.77</v>
      </c>
      <c r="I54" s="3">
        <f>F54/H54</f>
        <v/>
      </c>
    </row>
    <row r="55">
      <c r="A55" s="3" t="inlineStr">
        <is>
          <t>上交所</t>
        </is>
      </c>
      <c r="B55" s="3" t="inlineStr">
        <is>
          <t>510300</t>
        </is>
      </c>
      <c r="C55" s="3" t="inlineStr">
        <is>
          <t>沪深300etf华泰柏瑞</t>
        </is>
      </c>
      <c r="D55" s="23" t="n">
        <v>46287</v>
      </c>
      <c r="E55" s="3" t="n">
        <v>2373798.77</v>
      </c>
      <c r="F55" s="3">
        <f>E55-E54</f>
        <v/>
      </c>
      <c r="G55" s="3">
        <f>F55/E54</f>
        <v/>
      </c>
      <c r="H55" s="3" t="n">
        <v>8882958.77</v>
      </c>
      <c r="I55" s="3">
        <f>F55/H55</f>
        <v/>
      </c>
    </row>
    <row r="56">
      <c r="A56" t="inlineStr">
        <is>
          <t>上交所</t>
        </is>
      </c>
      <c r="B56" t="inlineStr">
        <is>
          <t>510300</t>
        </is>
      </c>
      <c r="C56" t="inlineStr">
        <is>
          <t>沪深300etf华泰柏瑞</t>
        </is>
      </c>
      <c r="D56" s="23" t="n">
        <v>46288</v>
      </c>
      <c r="E56" t="n">
        <v>2400528.77</v>
      </c>
      <c r="F56">
        <f>E56-E55</f>
        <v/>
      </c>
      <c r="G56">
        <f>F56/E55</f>
        <v/>
      </c>
      <c r="H56" t="n">
        <v>8882958.77</v>
      </c>
      <c r="I56">
        <f>F56/H56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连续3日减持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连续3日增持</t>
        </is>
      </c>
      <c r="I3" s="13">
        <f>SUM(INDEX('510300'!$I:$I,COUNTA('510300'!$E:$E)-3+1):INDEX('510300'!$I:$I,COUNTA('510300'!$E:$E)))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连续3日增持</t>
        </is>
      </c>
      <c r="I4" s="13">
        <f>SUM(INDEX('159919'!$I:$I,COUNTA('159919'!$E:$E)-3+1):INDEX('159919'!$I:$I,COUNTA('159919'!$E:$E)))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反转增持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s="3" t="inlineStr">
        <is>
          <t>深交所</t>
        </is>
      </c>
      <c r="B57" s="3" t="inlineStr">
        <is>
          <t>159915</t>
        </is>
      </c>
      <c r="C57" s="3" t="inlineStr">
        <is>
          <t>易方达创业板ETF</t>
        </is>
      </c>
      <c r="D57" s="23" t="n">
        <v>46281</v>
      </c>
      <c r="E57" s="3" t="n">
        <v>2028345.49</v>
      </c>
      <c r="F57" s="3">
        <f>E57-E56</f>
        <v/>
      </c>
      <c r="G57" s="3">
        <f>F57/E56</f>
        <v/>
      </c>
      <c r="H57" s="3" t="n">
        <v>3150245.49</v>
      </c>
      <c r="I57" s="3">
        <f>F57/H57</f>
        <v/>
      </c>
    </row>
    <row r="58">
      <c r="A58" s="3" t="inlineStr">
        <is>
          <t>深交所</t>
        </is>
      </c>
      <c r="B58" s="3" t="inlineStr">
        <is>
          <t>159915</t>
        </is>
      </c>
      <c r="C58" s="3" t="inlineStr">
        <is>
          <t>易方达创业板ETF</t>
        </is>
      </c>
      <c r="D58" s="23" t="n">
        <v>46282</v>
      </c>
      <c r="E58" s="3" t="n">
        <v>1999545.49</v>
      </c>
      <c r="F58" s="3">
        <f>E58-E57</f>
        <v/>
      </c>
      <c r="G58" s="3">
        <f>F58/E57</f>
        <v/>
      </c>
      <c r="H58" s="3" t="n">
        <v>3150245.49</v>
      </c>
      <c r="I58" s="3">
        <f>F58/H58</f>
        <v/>
      </c>
    </row>
    <row r="59">
      <c r="A59" s="3" t="inlineStr">
        <is>
          <t>深交所</t>
        </is>
      </c>
      <c r="B59" s="3" t="inlineStr">
        <is>
          <t>159915</t>
        </is>
      </c>
      <c r="C59" s="3" t="inlineStr">
        <is>
          <t>易方达创业板ETF</t>
        </is>
      </c>
      <c r="D59" s="23" t="n">
        <v>46283</v>
      </c>
      <c r="E59" s="3" t="n">
        <v>1985945.49</v>
      </c>
      <c r="F59" s="3">
        <f>E59-E58</f>
        <v/>
      </c>
      <c r="G59" s="3">
        <f>F59/E58</f>
        <v/>
      </c>
      <c r="H59" s="3" t="n">
        <v>3150245.49</v>
      </c>
      <c r="I59" s="3">
        <f>F59/H59</f>
        <v/>
      </c>
    </row>
    <row r="60">
      <c r="A60" s="3" t="inlineStr">
        <is>
          <t>深交所</t>
        </is>
      </c>
      <c r="B60" s="3" t="inlineStr">
        <is>
          <t>159915</t>
        </is>
      </c>
      <c r="C60" s="3" t="inlineStr">
        <is>
          <t>易方达创业板ETF</t>
        </is>
      </c>
      <c r="D60" s="23" t="n">
        <v>46286</v>
      </c>
      <c r="E60" s="3" t="n">
        <v>1963045.49</v>
      </c>
      <c r="F60" s="3">
        <f>E60-E59</f>
        <v/>
      </c>
      <c r="G60" s="3">
        <f>F60/E59</f>
        <v/>
      </c>
      <c r="H60" s="3" t="n">
        <v>3150245.49</v>
      </c>
      <c r="I60" s="3">
        <f>F60/H60</f>
        <v/>
      </c>
    </row>
    <row r="61">
      <c r="A61" s="3" t="inlineStr">
        <is>
          <t>深交所</t>
        </is>
      </c>
      <c r="B61" s="3" t="inlineStr">
        <is>
          <t>159915</t>
        </is>
      </c>
      <c r="C61" s="3" t="inlineStr">
        <is>
          <t>易方达创业板ETF</t>
        </is>
      </c>
      <c r="D61" s="23" t="n">
        <v>46287</v>
      </c>
      <c r="E61" s="3" t="n">
        <v>1962745.49</v>
      </c>
      <c r="F61" s="3">
        <f>E61-E60</f>
        <v/>
      </c>
      <c r="G61" s="3">
        <f>F61/E60</f>
        <v/>
      </c>
      <c r="H61" s="3" t="n">
        <v>3150245.49</v>
      </c>
      <c r="I61" s="3">
        <f>F61/H61</f>
        <v/>
      </c>
    </row>
    <row r="62">
      <c r="A62" t="inlineStr">
        <is>
          <t>深交所</t>
        </is>
      </c>
      <c r="B62" t="inlineStr">
        <is>
          <t>159915</t>
        </is>
      </c>
      <c r="C62" t="inlineStr">
        <is>
          <t>易方达创业板ETF</t>
        </is>
      </c>
      <c r="D62" s="23" t="n">
        <v>46288</v>
      </c>
      <c r="E62" t="n">
        <v>1964845.49</v>
      </c>
      <c r="F62">
        <f>E62-E61</f>
        <v/>
      </c>
      <c r="G62">
        <f>F62/E61</f>
        <v/>
      </c>
      <c r="H62" t="n">
        <v>3150245.49</v>
      </c>
      <c r="I62">
        <f>F62/H62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2026-09-24T00:00:55Z</dcterms:modified>
</cp:coreProperties>
</file>