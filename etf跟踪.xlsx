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t="inlineStr">
        <is>
          <t>上交所</t>
        </is>
      </c>
      <c r="B68" t="inlineStr">
        <is>
          <t>510050</t>
        </is>
      </c>
      <c r="C68" t="inlineStr">
        <is>
          <t>上证50华夏</t>
        </is>
      </c>
      <c r="D68" s="23" t="n">
        <v>46314</v>
      </c>
      <c r="E68" t="n">
        <v>961986.6800000001</v>
      </c>
      <c r="F68">
        <f>E68-E67</f>
        <v/>
      </c>
      <c r="G68">
        <f>F68/E67</f>
        <v/>
      </c>
      <c r="H68" t="n">
        <v>5666466.68</v>
      </c>
      <c r="I68">
        <f>F68/H68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t="inlineStr">
        <is>
          <t>深交所</t>
        </is>
      </c>
      <c r="B74" t="inlineStr">
        <is>
          <t>159919</t>
        </is>
      </c>
      <c r="C74" t="inlineStr">
        <is>
          <t>沪深300ETF嘉实</t>
        </is>
      </c>
      <c r="D74" s="23" t="n">
        <v>46314</v>
      </c>
      <c r="E74" t="n">
        <v>698601.66</v>
      </c>
      <c r="F74">
        <f>E74-E73</f>
        <v/>
      </c>
      <c r="G74">
        <f>F74/E73</f>
        <v/>
      </c>
      <c r="H74" t="n">
        <v>4081881.66</v>
      </c>
      <c r="I74">
        <f>F74/H74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t="inlineStr">
        <is>
          <t>上交所</t>
        </is>
      </c>
      <c r="B68" t="inlineStr">
        <is>
          <t>510300</t>
        </is>
      </c>
      <c r="C68" t="inlineStr">
        <is>
          <t>沪深300etf华泰柏瑞</t>
        </is>
      </c>
      <c r="D68" s="23" t="n">
        <v>46314</v>
      </c>
      <c r="E68" t="n">
        <v>2919558.77</v>
      </c>
      <c r="F68">
        <f>E68-E67</f>
        <v/>
      </c>
      <c r="G68">
        <f>F68/E67</f>
        <v/>
      </c>
      <c r="H68" t="n">
        <v>8882958.77</v>
      </c>
      <c r="I68">
        <f>F68/H68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连续5日增持</t>
        </is>
      </c>
      <c r="I2" s="13">
        <f>SUM(INDEX('510050'!$I:$I,COUNTA('510050'!$E:$E)-5+1):INDEX('510050'!$I:$I,COUNTA('510050'!$E:$E)))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连续3日增持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连续8日增持</t>
        </is>
      </c>
      <c r="I5" s="13">
        <f>SUM(INDEX('159915'!$I:$I,COUNTA('159915'!$E:$E)-8+1):INDEX('159915'!$I:$I,COUNTA('159915'!$E:$E)))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t="inlineStr">
        <is>
          <t>深交所</t>
        </is>
      </c>
      <c r="B74" t="inlineStr">
        <is>
          <t>159915</t>
        </is>
      </c>
      <c r="C74" t="inlineStr">
        <is>
          <t>易方达创业板ETF</t>
        </is>
      </c>
      <c r="D74" s="23" t="n">
        <v>46314</v>
      </c>
      <c r="E74" t="n">
        <v>2673645.49</v>
      </c>
      <c r="F74">
        <f>E74-E73</f>
        <v/>
      </c>
      <c r="G74">
        <f>F74/E73</f>
        <v/>
      </c>
      <c r="H74" t="n">
        <v>3150245.49</v>
      </c>
      <c r="I74">
        <f>F74/H74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2026-10-20T00:00:56Z</dcterms:modified>
</cp:coreProperties>
</file>