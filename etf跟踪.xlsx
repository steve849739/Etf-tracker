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t="inlineStr">
        <is>
          <t>上交所</t>
        </is>
      </c>
      <c r="B33" t="inlineStr">
        <is>
          <t>510050</t>
        </is>
      </c>
      <c r="C33" t="inlineStr">
        <is>
          <t>上证50华夏</t>
        </is>
      </c>
      <c r="D33" s="23" t="n">
        <v>46251</v>
      </c>
      <c r="E33" t="n">
        <v>691986.6800000001</v>
      </c>
      <c r="F33">
        <f>E33-E32</f>
        <v/>
      </c>
      <c r="G33">
        <f>F33/E32</f>
        <v/>
      </c>
      <c r="H33" t="n">
        <v>5666466.68</v>
      </c>
      <c r="I33">
        <f>F33/H33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t="inlineStr">
        <is>
          <t>深交所</t>
        </is>
      </c>
      <c r="B35" t="inlineStr">
        <is>
          <t>159919</t>
        </is>
      </c>
      <c r="C35" t="inlineStr">
        <is>
          <t>沪深300ETF嘉实</t>
        </is>
      </c>
      <c r="D35" s="23" t="n">
        <v>46251</v>
      </c>
      <c r="E35" t="n">
        <v>617241.66</v>
      </c>
      <c r="F35">
        <f>E35-E34</f>
        <v/>
      </c>
      <c r="G35">
        <f>F35/E34</f>
        <v/>
      </c>
      <c r="H35" t="n">
        <v>4081881.66</v>
      </c>
      <c r="I35">
        <f>F35/H35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t="inlineStr">
        <is>
          <t>上交所</t>
        </is>
      </c>
      <c r="B33" t="inlineStr">
        <is>
          <t>510300</t>
        </is>
      </c>
      <c r="C33" t="inlineStr">
        <is>
          <t>沪深300etf华泰柏瑞</t>
        </is>
      </c>
      <c r="D33" s="23" t="n">
        <v>46251</v>
      </c>
      <c r="E33" t="n">
        <v>2304408.77</v>
      </c>
      <c r="F33">
        <f>E33-E32</f>
        <v/>
      </c>
      <c r="G33">
        <f>F33/E32</f>
        <v/>
      </c>
      <c r="H33" t="n">
        <v>8882958.77</v>
      </c>
      <c r="I33">
        <f>F33/H33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连续8日减持</t>
        </is>
      </c>
      <c r="I3" s="13">
        <f>SUM(INDEX('510300'!$I:$I,COUNTA('510300'!$E:$E)-8+1):INDEX('510300'!$I:$I,COUNTA('510300'!$E:$E)))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连续4日减持</t>
        </is>
      </c>
      <c r="I4" s="13">
        <f>SUM(INDEX('159919'!$I:$I,COUNTA('159919'!$E:$E)-4+1):INDEX('159919'!$I:$I,COUNTA('159919'!$E:$E)))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连续5日减持</t>
        </is>
      </c>
      <c r="I5" s="13">
        <f>SUM(INDEX('159915'!$I:$I,COUNTA('159915'!$E:$E)-5+1):INDEX('159915'!$I:$I,COUNTA('159915'!$E:$E)))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t="inlineStr">
        <is>
          <t>深交所</t>
        </is>
      </c>
      <c r="B35" t="inlineStr">
        <is>
          <t>159915</t>
        </is>
      </c>
      <c r="C35" t="inlineStr">
        <is>
          <t>易方达创业板ETF</t>
        </is>
      </c>
      <c r="D35" s="23" t="n">
        <v>46251</v>
      </c>
      <c r="E35" t="n">
        <v>1711445.49</v>
      </c>
      <c r="F35">
        <f>E35-E34</f>
        <v/>
      </c>
      <c r="G35">
        <f>F35/E34</f>
        <v/>
      </c>
      <c r="H35" t="n">
        <v>3150245.49</v>
      </c>
      <c r="I35">
        <f>F35/H35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2026-08-18T02:34:48Z</dcterms:modified>
</cp:coreProperties>
</file>