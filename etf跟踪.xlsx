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t="inlineStr">
        <is>
          <t>上交所</t>
        </is>
      </c>
      <c r="B57" t="inlineStr">
        <is>
          <t>510050</t>
        </is>
      </c>
      <c r="C57" t="inlineStr">
        <is>
          <t>上证50华夏</t>
        </is>
      </c>
      <c r="D57" s="23" t="n">
        <v>46289</v>
      </c>
      <c r="E57" t="n">
        <v>716736.6800000001</v>
      </c>
      <c r="F57">
        <f>E57-E56</f>
        <v/>
      </c>
      <c r="G57">
        <f>F57/E56</f>
        <v/>
      </c>
      <c r="H57" t="n">
        <v>5666466.68</v>
      </c>
      <c r="I57">
        <f>F57/H57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t="inlineStr">
        <is>
          <t>深交所</t>
        </is>
      </c>
      <c r="B63" t="inlineStr">
        <is>
          <t>159919</t>
        </is>
      </c>
      <c r="C63" t="inlineStr">
        <is>
          <t>沪深300ETF嘉实</t>
        </is>
      </c>
      <c r="D63" s="23" t="n">
        <v>46289</v>
      </c>
      <c r="E63" t="n">
        <v>656661.66</v>
      </c>
      <c r="F63">
        <f>E63-E62</f>
        <v/>
      </c>
      <c r="G63">
        <f>F63/E62</f>
        <v/>
      </c>
      <c r="H63" t="n">
        <v>4081881.66</v>
      </c>
      <c r="I63">
        <f>F63/H63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7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t="inlineStr">
        <is>
          <t>上交所</t>
        </is>
      </c>
      <c r="B57" t="inlineStr">
        <is>
          <t>510300</t>
        </is>
      </c>
      <c r="C57" t="inlineStr">
        <is>
          <t>沪深300etf华泰柏瑞</t>
        </is>
      </c>
      <c r="D57" s="23" t="n">
        <v>46289</v>
      </c>
      <c r="E57" t="n">
        <v>2390448.77</v>
      </c>
      <c r="F57">
        <f>E57-E56</f>
        <v/>
      </c>
      <c r="G57">
        <f>F57/E56</f>
        <v/>
      </c>
      <c r="H57" t="n">
        <v>8882958.77</v>
      </c>
      <c r="I57">
        <f>F57/H57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连续4日减持</t>
        </is>
      </c>
      <c r="I2" s="13">
        <f>SUM(INDEX('510050'!$I:$I,COUNTA('510050'!$E:$E)-4+1):INDEX('510050'!$I:$I,COUNTA('510050'!$E:$E)))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反转减持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连续4日增持</t>
        </is>
      </c>
      <c r="I4" s="13">
        <f>SUM(INDEX('159919'!$I:$I,COUNTA('159919'!$E:$E)-4+1):INDEX('159919'!$I:$I,COUNTA('159919'!$E:$E)))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连续2日增持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t="inlineStr">
        <is>
          <t>深交所</t>
        </is>
      </c>
      <c r="B63" t="inlineStr">
        <is>
          <t>159915</t>
        </is>
      </c>
      <c r="C63" t="inlineStr">
        <is>
          <t>易方达创业板ETF</t>
        </is>
      </c>
      <c r="D63" s="23" t="n">
        <v>46289</v>
      </c>
      <c r="E63" t="n">
        <v>1996345.49</v>
      </c>
      <c r="F63">
        <f>E63-E62</f>
        <v/>
      </c>
      <c r="G63">
        <f>F63/E62</f>
        <v/>
      </c>
      <c r="H63" t="n">
        <v>3150245.49</v>
      </c>
      <c r="I63">
        <f>F63/H63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2026-09-25T00:00:57Z</dcterms:modified>
</cp:coreProperties>
</file>