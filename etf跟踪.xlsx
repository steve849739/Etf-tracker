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t="inlineStr">
        <is>
          <t>上交所</t>
        </is>
      </c>
      <c r="B69" t="inlineStr">
        <is>
          <t>510050</t>
        </is>
      </c>
      <c r="C69" t="inlineStr">
        <is>
          <t>上证50华夏</t>
        </is>
      </c>
      <c r="D69" s="23" t="n">
        <v>46315</v>
      </c>
      <c r="E69" t="n">
        <v>1116066.68</v>
      </c>
      <c r="F69">
        <f>E69-E68</f>
        <v/>
      </c>
      <c r="G69">
        <f>F69/E68</f>
        <v/>
      </c>
      <c r="H69" t="n">
        <v>5666466.68</v>
      </c>
      <c r="I69">
        <f>F69/H69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t="inlineStr">
        <is>
          <t>深交所</t>
        </is>
      </c>
      <c r="B75" t="inlineStr">
        <is>
          <t>159919</t>
        </is>
      </c>
      <c r="C75" t="inlineStr">
        <is>
          <t>沪深300ETF嘉实</t>
        </is>
      </c>
      <c r="D75" s="23" t="n">
        <v>46315</v>
      </c>
      <c r="E75" t="n">
        <v>734241.66</v>
      </c>
      <c r="F75">
        <f>E75-E74</f>
        <v/>
      </c>
      <c r="G75">
        <f>F75/E74</f>
        <v/>
      </c>
      <c r="H75" t="n">
        <v>4081881.66</v>
      </c>
      <c r="I75">
        <f>F75/H75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t="inlineStr">
        <is>
          <t>上交所</t>
        </is>
      </c>
      <c r="B69" t="inlineStr">
        <is>
          <t>510300</t>
        </is>
      </c>
      <c r="C69" t="inlineStr">
        <is>
          <t>沪深300etf华泰柏瑞</t>
        </is>
      </c>
      <c r="D69" s="23" t="n">
        <v>46315</v>
      </c>
      <c r="E69" t="n">
        <v>2940078.77</v>
      </c>
      <c r="F69">
        <f>E69-E68</f>
        <v/>
      </c>
      <c r="G69">
        <f>F69/E68</f>
        <v/>
      </c>
      <c r="H69" t="n">
        <v>8882958.77</v>
      </c>
      <c r="I69">
        <f>F69/H69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连续6日增持</t>
        </is>
      </c>
      <c r="I2" s="13">
        <f>SUM(INDEX('510050'!$I:$I,COUNTA('510050'!$E:$E)-6+1):INDEX('510050'!$I:$I,COUNTA('510050'!$E:$E)))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连续4日增持</t>
        </is>
      </c>
      <c r="I3" s="13">
        <f>SUM(INDEX('510300'!$I:$I,COUNTA('510300'!$E:$E)-4+1):INDEX('510300'!$I:$I,COUNTA('510300'!$E:$E)))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连续4日增持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连续9日增持</t>
        </is>
      </c>
      <c r="I5" s="13">
        <f>SUM(INDEX('159915'!$I:$I,COUNTA('159915'!$E:$E)-9+1):INDEX('159915'!$I:$I,COUNTA('159915'!$E:$E)))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t="inlineStr">
        <is>
          <t>深交所</t>
        </is>
      </c>
      <c r="B75" t="inlineStr">
        <is>
          <t>159915</t>
        </is>
      </c>
      <c r="C75" t="inlineStr">
        <is>
          <t>易方达创业板ETF</t>
        </is>
      </c>
      <c r="D75" s="23" t="n">
        <v>46315</v>
      </c>
      <c r="E75" t="n">
        <v>2734345.49</v>
      </c>
      <c r="F75">
        <f>E75-E74</f>
        <v/>
      </c>
      <c r="G75">
        <f>F75/E74</f>
        <v/>
      </c>
      <c r="H75" t="n">
        <v>3150245.49</v>
      </c>
      <c r="I75">
        <f>F75/H75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2026-10-21T00:01:01Z</dcterms:modified>
</cp:coreProperties>
</file>