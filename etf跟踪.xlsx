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t="inlineStr">
        <is>
          <t>上交所</t>
        </is>
      </c>
      <c r="B27" t="inlineStr">
        <is>
          <t>510050</t>
        </is>
      </c>
      <c r="C27" t="inlineStr">
        <is>
          <t>上证50华夏</t>
        </is>
      </c>
      <c r="D27" s="23" t="n">
        <v>46239</v>
      </c>
      <c r="E27" t="n">
        <v>714756.6800000001</v>
      </c>
      <c r="F27">
        <f>E27-E26</f>
        <v/>
      </c>
      <c r="G27">
        <f>F27/E26</f>
        <v/>
      </c>
      <c r="H27" t="n">
        <v>5666466.68</v>
      </c>
      <c r="I27">
        <f>F27/H27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t="inlineStr">
        <is>
          <t>深交所</t>
        </is>
      </c>
      <c r="B27" t="inlineStr">
        <is>
          <t>159919</t>
        </is>
      </c>
      <c r="C27" t="inlineStr">
        <is>
          <t>沪深300ETF嘉实</t>
        </is>
      </c>
      <c r="D27" s="23" t="n">
        <v>46239</v>
      </c>
      <c r="E27" t="n">
        <v>651801.66</v>
      </c>
      <c r="F27">
        <f>E27-E26</f>
        <v/>
      </c>
      <c r="G27">
        <f>F27/E26</f>
        <v/>
      </c>
      <c r="H27" t="n">
        <v>4081881.66</v>
      </c>
      <c r="I27">
        <f>F27/H27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7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t="inlineStr">
        <is>
          <t>上交所</t>
        </is>
      </c>
      <c r="B27" t="inlineStr">
        <is>
          <t>510300</t>
        </is>
      </c>
      <c r="C27" t="inlineStr">
        <is>
          <t>沪深300etf华泰柏瑞</t>
        </is>
      </c>
      <c r="D27" s="23" t="n">
        <v>46239</v>
      </c>
      <c r="E27" t="n">
        <v>2593758.77</v>
      </c>
      <c r="F27">
        <f>E27-E26</f>
        <v/>
      </c>
      <c r="G27">
        <f>F27/E26</f>
        <v/>
      </c>
      <c r="H27" t="n">
        <v>8882958.77</v>
      </c>
      <c r="I27">
        <f>F27/H27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连续2日减持</t>
        </is>
      </c>
      <c r="I2" s="13">
        <f>SUM(INDEX('510050'!$I:$I,COUNTA('510050'!$E:$E)-2+1):INDEX('510050'!$I:$I,COUNTA('510050'!$E:$E)))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连续2日减持</t>
        </is>
      </c>
      <c r="I3" s="13">
        <f>SUM(INDEX('510300'!$I:$I,COUNTA('510300'!$E:$E)-2+1):INDEX('510300'!$I:$I,COUNTA('510300'!$E:$E)))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连续2日减持</t>
        </is>
      </c>
      <c r="I4" s="13">
        <f>SUM(INDEX('159919'!$I:$I,COUNTA('159919'!$E:$E)-2+1):INDEX('159919'!$I:$I,COUNTA('159919'!$E:$E)))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连续4日减持</t>
        </is>
      </c>
      <c r="I5" s="13">
        <f>SUM(INDEX('159915'!$I:$I,COUNTA('159915'!$E:$E)-4+1):INDEX('159915'!$I:$I,COUNTA('159915'!$E:$E)))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7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t="inlineStr">
        <is>
          <t>深交所</t>
        </is>
      </c>
      <c r="B27" t="inlineStr">
        <is>
          <t>159915</t>
        </is>
      </c>
      <c r="C27" t="inlineStr">
        <is>
          <t>易方达创业板ETF</t>
        </is>
      </c>
      <c r="D27" s="23" t="n">
        <v>46239</v>
      </c>
      <c r="E27" t="n">
        <v>1897845.49</v>
      </c>
      <c r="F27">
        <f>E27-E26</f>
        <v/>
      </c>
      <c r="G27">
        <f>F27/E26</f>
        <v/>
      </c>
      <c r="H27" t="n">
        <v>3150245.49</v>
      </c>
      <c r="I27">
        <f>F27/H27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2026-08-06T02:29:31Z</dcterms:modified>
</cp:coreProperties>
</file>