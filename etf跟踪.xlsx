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t="inlineStr">
        <is>
          <t>上交所</t>
        </is>
      </c>
      <c r="B70" t="inlineStr">
        <is>
          <t>510050</t>
        </is>
      </c>
      <c r="C70" t="inlineStr">
        <is>
          <t>上证50华夏</t>
        </is>
      </c>
      <c r="D70" s="23" t="n">
        <v>46316</v>
      </c>
      <c r="E70" t="n">
        <v>1139016.68</v>
      </c>
      <c r="F70">
        <f>E70-E69</f>
        <v/>
      </c>
      <c r="G70">
        <f>F70/E69</f>
        <v/>
      </c>
      <c r="H70" t="n">
        <v>5666466.68</v>
      </c>
      <c r="I70">
        <f>F70/H70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t="inlineStr">
        <is>
          <t>深交所</t>
        </is>
      </c>
      <c r="B76" t="inlineStr">
        <is>
          <t>159919</t>
        </is>
      </c>
      <c r="C76" t="inlineStr">
        <is>
          <t>沪深300ETF嘉实</t>
        </is>
      </c>
      <c r="D76" s="23" t="n">
        <v>46316</v>
      </c>
      <c r="E76" t="n">
        <v>756561.66</v>
      </c>
      <c r="F76">
        <f>E76-E75</f>
        <v/>
      </c>
      <c r="G76">
        <f>F76/E75</f>
        <v/>
      </c>
      <c r="H76" t="n">
        <v>4081881.66</v>
      </c>
      <c r="I76">
        <f>F76/H76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t="inlineStr">
        <is>
          <t>上交所</t>
        </is>
      </c>
      <c r="B70" t="inlineStr">
        <is>
          <t>510300</t>
        </is>
      </c>
      <c r="C70" t="inlineStr">
        <is>
          <t>沪深300etf华泰柏瑞</t>
        </is>
      </c>
      <c r="D70" s="23" t="n">
        <v>46316</v>
      </c>
      <c r="E70" t="n">
        <v>3019908.77</v>
      </c>
      <c r="F70">
        <f>E70-E69</f>
        <v/>
      </c>
      <c r="G70">
        <f>F70/E69</f>
        <v/>
      </c>
      <c r="H70" t="n">
        <v>8882958.77</v>
      </c>
      <c r="I70">
        <f>F70/H70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连续7日增持</t>
        </is>
      </c>
      <c r="I2" s="13">
        <f>SUM(INDEX('510050'!$I:$I,COUNTA('510050'!$E:$E)-7+1):INDEX('510050'!$I:$I,COUNTA('510050'!$E:$E)))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连续5日增持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连续5日增持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连续10日增持</t>
        </is>
      </c>
      <c r="I5" s="13">
        <f>SUM(INDEX('159915'!$I:$I,COUNTA('159915'!$E:$E)-10+1):INDEX('159915'!$I:$I,COUNTA('159915'!$E:$E)))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t="inlineStr">
        <is>
          <t>深交所</t>
        </is>
      </c>
      <c r="B76" t="inlineStr">
        <is>
          <t>159915</t>
        </is>
      </c>
      <c r="C76" t="inlineStr">
        <is>
          <t>易方达创业板ETF</t>
        </is>
      </c>
      <c r="D76" s="23" t="n">
        <v>46316</v>
      </c>
      <c r="E76" t="n">
        <v>2920445.49</v>
      </c>
      <c r="F76">
        <f>E76-E75</f>
        <v/>
      </c>
      <c r="G76">
        <f>F76/E75</f>
        <v/>
      </c>
      <c r="H76" t="n">
        <v>3150245.49</v>
      </c>
      <c r="I76">
        <f>F76/H76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2026-10-22T00:00:56Z</dcterms:modified>
</cp:coreProperties>
</file>