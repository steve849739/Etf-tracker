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t="inlineStr">
        <is>
          <t>上交所</t>
        </is>
      </c>
      <c r="B66" t="inlineStr">
        <is>
          <t>510050</t>
        </is>
      </c>
      <c r="C66" t="inlineStr">
        <is>
          <t>上证50华夏</t>
        </is>
      </c>
      <c r="D66" s="23" t="n">
        <v>46310</v>
      </c>
      <c r="E66" t="n">
        <v>760296.6800000001</v>
      </c>
      <c r="F66">
        <f>E66-E65</f>
        <v/>
      </c>
      <c r="G66">
        <f>F66/E65</f>
        <v/>
      </c>
      <c r="H66" t="n">
        <v>5666466.68</v>
      </c>
      <c r="I66">
        <f>F66/H66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t="inlineStr">
        <is>
          <t>深交所</t>
        </is>
      </c>
      <c r="B72" t="inlineStr">
        <is>
          <t>159919</t>
        </is>
      </c>
      <c r="C72" t="inlineStr">
        <is>
          <t>沪深300ETF嘉实</t>
        </is>
      </c>
      <c r="D72" s="23" t="n">
        <v>46310</v>
      </c>
      <c r="E72" t="n">
        <v>685191.66</v>
      </c>
      <c r="F72">
        <f>E72-E71</f>
        <v/>
      </c>
      <c r="G72">
        <f>F72/E71</f>
        <v/>
      </c>
      <c r="H72" t="n">
        <v>4081881.66</v>
      </c>
      <c r="I72">
        <f>F72/H72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t="inlineStr">
        <is>
          <t>上交所</t>
        </is>
      </c>
      <c r="B66" t="inlineStr">
        <is>
          <t>510300</t>
        </is>
      </c>
      <c r="C66" t="inlineStr">
        <is>
          <t>沪深300etf华泰柏瑞</t>
        </is>
      </c>
      <c r="D66" s="23" t="n">
        <v>46310</v>
      </c>
      <c r="E66" t="n">
        <v>2548488.77</v>
      </c>
      <c r="F66">
        <f>E66-E65</f>
        <v/>
      </c>
      <c r="G66">
        <f>F66/E65</f>
        <v/>
      </c>
      <c r="H66" t="n">
        <v>8882958.77</v>
      </c>
      <c r="I66">
        <f>F66/H66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连续3日增持</t>
        </is>
      </c>
      <c r="I2" s="13">
        <f>SUM(INDEX('510050'!$I:$I,COUNTA('510050'!$E:$E)-3+1):INDEX('510050'!$I:$I,COUNTA('510050'!$E:$E)))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反转增持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连续6日增持</t>
        </is>
      </c>
      <c r="I5" s="13">
        <f>SUM(INDEX('159915'!$I:$I,COUNTA('159915'!$E:$E)-6+1):INDEX('159915'!$I:$I,COUNTA('159915'!$E:$E)))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t="inlineStr">
        <is>
          <t>深交所</t>
        </is>
      </c>
      <c r="B72" t="inlineStr">
        <is>
          <t>159915</t>
        </is>
      </c>
      <c r="C72" t="inlineStr">
        <is>
          <t>易方达创业板ETF</t>
        </is>
      </c>
      <c r="D72" s="23" t="n">
        <v>46310</v>
      </c>
      <c r="E72" t="n">
        <v>2547045.49</v>
      </c>
      <c r="F72">
        <f>E72-E71</f>
        <v/>
      </c>
      <c r="G72">
        <f>F72/E71</f>
        <v/>
      </c>
      <c r="H72" t="n">
        <v>3150245.49</v>
      </c>
      <c r="I72">
        <f>F72/H72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2026-10-16T00:00:58Z</dcterms:modified>
</cp:coreProperties>
</file>