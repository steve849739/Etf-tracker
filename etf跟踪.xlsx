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7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  <row r="26">
      <c r="A26" s="3" t="inlineStr">
        <is>
          <t>上交所</t>
        </is>
      </c>
      <c r="B26" s="3" t="inlineStr">
        <is>
          <t>510050</t>
        </is>
      </c>
      <c r="C26" s="3" t="inlineStr">
        <is>
          <t>上证50华夏</t>
        </is>
      </c>
      <c r="D26" s="23" t="n">
        <v>46238</v>
      </c>
      <c r="E26" s="3" t="n">
        <v>763536.6800000001</v>
      </c>
      <c r="F26" s="3">
        <f>E26-E25</f>
        <v/>
      </c>
      <c r="G26" s="3">
        <f>F26/E25</f>
        <v/>
      </c>
      <c r="H26" s="3" t="n">
        <v>5666466.68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510050</t>
        </is>
      </c>
      <c r="C27" s="3" t="inlineStr">
        <is>
          <t>上证50华夏</t>
        </is>
      </c>
      <c r="D27" s="23" t="n">
        <v>46239</v>
      </c>
      <c r="E27" s="3" t="n">
        <v>714756.6800000001</v>
      </c>
      <c r="F27" s="3">
        <f>E27-E26</f>
        <v/>
      </c>
      <c r="G27" s="3">
        <f>F27/E26</f>
        <v/>
      </c>
      <c r="H27" s="3" t="n">
        <v>5666466.68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510050</t>
        </is>
      </c>
      <c r="C28" s="3" t="inlineStr">
        <is>
          <t>上证50华夏</t>
        </is>
      </c>
      <c r="D28" s="23" t="n">
        <v>46240</v>
      </c>
      <c r="E28" s="3" t="n">
        <v>710796.6800000001</v>
      </c>
      <c r="F28" s="3">
        <f>E28-E27</f>
        <v/>
      </c>
      <c r="G28" s="3">
        <f>F28/E27</f>
        <v/>
      </c>
      <c r="H28" s="3" t="n">
        <v>5666466.68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510050</t>
        </is>
      </c>
      <c r="C29" s="3" t="inlineStr">
        <is>
          <t>上证50华夏</t>
        </is>
      </c>
      <c r="D29" s="23" t="n">
        <v>46241</v>
      </c>
      <c r="E29" s="3" t="n">
        <v>689466.6800000001</v>
      </c>
      <c r="F29" s="3">
        <f>E29-E28</f>
        <v/>
      </c>
      <c r="G29" s="3">
        <f>F29/E28</f>
        <v/>
      </c>
      <c r="H29" s="3" t="n">
        <v>5666466.68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510050</t>
        </is>
      </c>
      <c r="C30" s="3" t="inlineStr">
        <is>
          <t>上证50华夏</t>
        </is>
      </c>
      <c r="D30" s="23" t="n">
        <v>46244</v>
      </c>
      <c r="E30" s="3" t="n">
        <v>677856.6800000001</v>
      </c>
      <c r="F30" s="3">
        <f>E30-E29</f>
        <v/>
      </c>
      <c r="G30" s="3">
        <f>F30/E29</f>
        <v/>
      </c>
      <c r="H30" s="3" t="n">
        <v>5666466.68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510050</t>
        </is>
      </c>
      <c r="C31" s="3" t="inlineStr">
        <is>
          <t>上证50华夏</t>
        </is>
      </c>
      <c r="D31" s="23" t="n">
        <v>46245</v>
      </c>
      <c r="E31" s="3" t="n">
        <v>714666.6800000001</v>
      </c>
      <c r="F31" s="3">
        <f>E31-E30</f>
        <v/>
      </c>
      <c r="G31" s="3">
        <f>F31/E30</f>
        <v/>
      </c>
      <c r="H31" s="3" t="n">
        <v>5666466.68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510050</t>
        </is>
      </c>
      <c r="C32" s="3" t="inlineStr">
        <is>
          <t>上证50华夏</t>
        </is>
      </c>
      <c r="D32" s="23" t="n">
        <v>46246</v>
      </c>
      <c r="E32" s="3" t="n">
        <v>700446.6800000001</v>
      </c>
      <c r="F32" s="3">
        <f>E32-E31</f>
        <v/>
      </c>
      <c r="G32" s="3">
        <f>F32/E31</f>
        <v/>
      </c>
      <c r="H32" s="3" t="n">
        <v>5666466.68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510050</t>
        </is>
      </c>
      <c r="C33" s="3" t="inlineStr">
        <is>
          <t>上证50华夏</t>
        </is>
      </c>
      <c r="D33" s="23" t="n">
        <v>46251</v>
      </c>
      <c r="E33" s="3" t="n">
        <v>691986.6800000001</v>
      </c>
      <c r="F33" s="3">
        <f>E33-E32</f>
        <v/>
      </c>
      <c r="G33" s="3">
        <f>F33/E32</f>
        <v/>
      </c>
      <c r="H33" s="3" t="n">
        <v>5666466.68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510050</t>
        </is>
      </c>
      <c r="C34" s="3" t="inlineStr">
        <is>
          <t>上证50华夏</t>
        </is>
      </c>
      <c r="D34" s="23" t="n">
        <v>46253</v>
      </c>
      <c r="E34" s="3" t="n">
        <v>694056.6800000001</v>
      </c>
      <c r="F34" s="3">
        <f>E34-E33</f>
        <v/>
      </c>
      <c r="G34" s="3">
        <f>F34/E33</f>
        <v/>
      </c>
      <c r="H34" s="3" t="n">
        <v>5666466.68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510050</t>
        </is>
      </c>
      <c r="C35" s="3" t="inlineStr">
        <is>
          <t>上证50华夏</t>
        </is>
      </c>
      <c r="D35" s="23" t="n">
        <v>46254</v>
      </c>
      <c r="E35" s="3" t="n">
        <v>729246.6800000001</v>
      </c>
      <c r="F35" s="3">
        <f>E35-E34</f>
        <v/>
      </c>
      <c r="G35" s="3">
        <f>F35/E34</f>
        <v/>
      </c>
      <c r="H35" s="3" t="n">
        <v>5666466.68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510050</t>
        </is>
      </c>
      <c r="C36" s="3" t="inlineStr">
        <is>
          <t>上证50华夏</t>
        </is>
      </c>
      <c r="D36" s="23" t="n">
        <v>46258</v>
      </c>
      <c r="E36" s="3" t="n">
        <v>752106.6800000001</v>
      </c>
      <c r="F36" s="3">
        <f>E36-E35</f>
        <v/>
      </c>
      <c r="G36" s="3">
        <f>F36/E35</f>
        <v/>
      </c>
      <c r="H36" s="3" t="n">
        <v>5666466.68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510050</t>
        </is>
      </c>
      <c r="C37" s="3" t="inlineStr">
        <is>
          <t>上证50华夏</t>
        </is>
      </c>
      <c r="D37" s="23" t="n">
        <v>46259</v>
      </c>
      <c r="E37" s="3" t="n">
        <v>763356.6800000001</v>
      </c>
      <c r="F37" s="3">
        <f>E37-E36</f>
        <v/>
      </c>
      <c r="G37" s="3">
        <f>F37/E36</f>
        <v/>
      </c>
      <c r="H37" s="3" t="n">
        <v>5666466.68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510050</t>
        </is>
      </c>
      <c r="C38" s="3" t="inlineStr">
        <is>
          <t>上证50华夏</t>
        </is>
      </c>
      <c r="D38" s="23" t="n">
        <v>46260</v>
      </c>
      <c r="E38" s="3" t="n">
        <v>724656.6800000001</v>
      </c>
      <c r="F38" s="3">
        <f>E38-E37</f>
        <v/>
      </c>
      <c r="G38" s="3">
        <f>F38/E37</f>
        <v/>
      </c>
      <c r="H38" s="3" t="n">
        <v>5666466.68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510050</t>
        </is>
      </c>
      <c r="C39" s="3" t="inlineStr">
        <is>
          <t>上证50华夏</t>
        </is>
      </c>
      <c r="D39" s="23" t="n">
        <v>46262</v>
      </c>
      <c r="E39" s="3" t="n">
        <v>682626.6800000001</v>
      </c>
      <c r="F39" s="3">
        <f>E39-E38</f>
        <v/>
      </c>
      <c r="G39" s="3">
        <f>F39/E38</f>
        <v/>
      </c>
      <c r="H39" s="3" t="n">
        <v>5666466.68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510050</t>
        </is>
      </c>
      <c r="C40" s="3" t="inlineStr">
        <is>
          <t>上证50华夏</t>
        </is>
      </c>
      <c r="D40" s="23" t="n">
        <v>46265</v>
      </c>
      <c r="E40" s="3" t="n">
        <v>679386.6800000001</v>
      </c>
      <c r="F40" s="3">
        <f>E40-E39</f>
        <v/>
      </c>
      <c r="G40" s="3">
        <f>F40/E39</f>
        <v/>
      </c>
      <c r="H40" s="3" t="n">
        <v>5666466.68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510050</t>
        </is>
      </c>
      <c r="C41" s="3" t="inlineStr">
        <is>
          <t>上证50华夏</t>
        </is>
      </c>
      <c r="D41" s="23" t="n">
        <v>46266</v>
      </c>
      <c r="E41" s="3" t="n">
        <v>653376.6800000001</v>
      </c>
      <c r="F41" s="3">
        <f>E41-E40</f>
        <v/>
      </c>
      <c r="G41" s="3">
        <f>F41/E40</f>
        <v/>
      </c>
      <c r="H41" s="3" t="n">
        <v>5666466.68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510050</t>
        </is>
      </c>
      <c r="C42" s="3" t="inlineStr">
        <is>
          <t>上证50华夏</t>
        </is>
      </c>
      <c r="D42" s="23" t="n">
        <v>46267</v>
      </c>
      <c r="E42" s="3" t="n">
        <v>647256.6800000001</v>
      </c>
      <c r="F42" s="3">
        <f>E42-E41</f>
        <v/>
      </c>
      <c r="G42" s="3">
        <f>F42/E41</f>
        <v/>
      </c>
      <c r="H42" s="3" t="n">
        <v>5666466.68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510050</t>
        </is>
      </c>
      <c r="C43" s="3" t="inlineStr">
        <is>
          <t>上证50华夏</t>
        </is>
      </c>
      <c r="D43" s="23" t="n">
        <v>46268</v>
      </c>
      <c r="E43" s="3" t="n">
        <v>656076.6800000001</v>
      </c>
      <c r="F43" s="3">
        <f>E43-E42</f>
        <v/>
      </c>
      <c r="G43" s="3">
        <f>F43/E42</f>
        <v/>
      </c>
      <c r="H43" s="3" t="n">
        <v>5666466.68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510050</t>
        </is>
      </c>
      <c r="C44" s="3" t="inlineStr">
        <is>
          <t>上证50华夏</t>
        </is>
      </c>
      <c r="D44" s="23" t="n">
        <v>46269</v>
      </c>
      <c r="E44" s="3" t="n">
        <v>681096.6800000001</v>
      </c>
      <c r="F44" s="3">
        <f>E44-E43</f>
        <v/>
      </c>
      <c r="G44" s="3">
        <f>F44/E43</f>
        <v/>
      </c>
      <c r="H44" s="3" t="n">
        <v>5666466.68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510050</t>
        </is>
      </c>
      <c r="C45" s="3" t="inlineStr">
        <is>
          <t>上证50华夏</t>
        </is>
      </c>
      <c r="D45" s="23" t="n">
        <v>46272</v>
      </c>
      <c r="E45" s="3" t="n">
        <v>701886.6800000001</v>
      </c>
      <c r="F45" s="3">
        <f>E45-E44</f>
        <v/>
      </c>
      <c r="G45" s="3">
        <f>F45/E44</f>
        <v/>
      </c>
      <c r="H45" s="3" t="n">
        <v>5666466.68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510050</t>
        </is>
      </c>
      <c r="C46" s="3" t="inlineStr">
        <is>
          <t>上证50华夏</t>
        </is>
      </c>
      <c r="D46" s="23" t="n">
        <v>46273</v>
      </c>
      <c r="E46" s="3" t="n">
        <v>684786.6800000001</v>
      </c>
      <c r="F46" s="3">
        <f>E46-E45</f>
        <v/>
      </c>
      <c r="G46" s="3">
        <f>F46/E45</f>
        <v/>
      </c>
      <c r="H46" s="3" t="n">
        <v>5666466.68</v>
      </c>
      <c r="I46" s="3">
        <f>F46/H46</f>
        <v/>
      </c>
    </row>
    <row r="47">
      <c r="A47" t="inlineStr">
        <is>
          <t>上交所</t>
        </is>
      </c>
      <c r="B47" t="inlineStr">
        <is>
          <t>510050</t>
        </is>
      </c>
      <c r="C47" t="inlineStr">
        <is>
          <t>上证50华夏</t>
        </is>
      </c>
      <c r="D47" s="23" t="n">
        <v>46274</v>
      </c>
      <c r="E47" t="n">
        <v>684696.6800000001</v>
      </c>
      <c r="F47">
        <f>E47-E46</f>
        <v/>
      </c>
      <c r="G47">
        <f>F47/E46</f>
        <v/>
      </c>
      <c r="H47" t="n">
        <v>5666466.68</v>
      </c>
      <c r="I47">
        <f>F47/H47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2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159919</t>
        </is>
      </c>
      <c r="C26" s="3" t="inlineStr">
        <is>
          <t>沪深300ETF嘉实</t>
        </is>
      </c>
      <c r="D26" s="23" t="n">
        <v>46238</v>
      </c>
      <c r="E26" s="3" t="n">
        <v>661251.66</v>
      </c>
      <c r="F26" s="3">
        <f>E26-E25</f>
        <v/>
      </c>
      <c r="G26" s="3">
        <f>F26/E25</f>
        <v/>
      </c>
      <c r="H26" s="3" t="n">
        <v>4081881.66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159919</t>
        </is>
      </c>
      <c r="C27" s="3" t="inlineStr">
        <is>
          <t>沪深300ETF嘉实</t>
        </is>
      </c>
      <c r="D27" s="23" t="n">
        <v>46239</v>
      </c>
      <c r="E27" s="3" t="n">
        <v>651801.66</v>
      </c>
      <c r="F27" s="3">
        <f>E27-E26</f>
        <v/>
      </c>
      <c r="G27" s="3">
        <f>F27/E26</f>
        <v/>
      </c>
      <c r="H27" s="3" t="n">
        <v>4081881.66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159919</t>
        </is>
      </c>
      <c r="C28" s="3" t="inlineStr">
        <is>
          <t>沪深300ETF嘉实</t>
        </is>
      </c>
      <c r="D28" s="23" t="n">
        <v>46240</v>
      </c>
      <c r="E28" s="3" t="n">
        <v>648831.66</v>
      </c>
      <c r="F28" s="3">
        <f>E28-E27</f>
        <v/>
      </c>
      <c r="G28" s="3">
        <f>F28/E27</f>
        <v/>
      </c>
      <c r="H28" s="3" t="n">
        <v>4081881.66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159919</t>
        </is>
      </c>
      <c r="C29" s="3" t="inlineStr">
        <is>
          <t>沪深300ETF嘉实</t>
        </is>
      </c>
      <c r="D29" s="23" t="n">
        <v>46241</v>
      </c>
      <c r="E29" s="3" t="n">
        <v>637851.66</v>
      </c>
      <c r="F29" s="3">
        <f>E29-E28</f>
        <v/>
      </c>
      <c r="G29" s="3">
        <f>F29/E28</f>
        <v/>
      </c>
      <c r="H29" s="3" t="n">
        <v>4081881.66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159919</t>
        </is>
      </c>
      <c r="C30" s="3" t="inlineStr">
        <is>
          <t>沪深300ETF嘉实</t>
        </is>
      </c>
      <c r="D30" s="23" t="n">
        <v>46244</v>
      </c>
      <c r="E30" s="3" t="n">
        <v>633531.66</v>
      </c>
      <c r="F30" s="3">
        <f>E30-E29</f>
        <v/>
      </c>
      <c r="G30" s="3">
        <f>F30/E29</f>
        <v/>
      </c>
      <c r="H30" s="3" t="n">
        <v>4081881.66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159919</t>
        </is>
      </c>
      <c r="C31" s="3" t="inlineStr">
        <is>
          <t>沪深300ETF嘉实</t>
        </is>
      </c>
      <c r="D31" s="23" t="n">
        <v>46245</v>
      </c>
      <c r="E31" s="3" t="n">
        <v>633981.66</v>
      </c>
      <c r="F31" s="3">
        <f>E31-E30</f>
        <v/>
      </c>
      <c r="G31" s="3">
        <f>F31/E30</f>
        <v/>
      </c>
      <c r="H31" s="3" t="n">
        <v>4081881.66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159919</t>
        </is>
      </c>
      <c r="C32" s="3" t="inlineStr">
        <is>
          <t>沪深300ETF嘉实</t>
        </is>
      </c>
      <c r="D32" s="23" t="n">
        <v>46246</v>
      </c>
      <c r="E32" s="3" t="n">
        <v>628491.66</v>
      </c>
      <c r="F32" s="3">
        <f>E32-E31</f>
        <v/>
      </c>
      <c r="G32" s="3">
        <f>F32/E31</f>
        <v/>
      </c>
      <c r="H32" s="3" t="n">
        <v>4081881.66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159919</t>
        </is>
      </c>
      <c r="C33" s="3" t="inlineStr">
        <is>
          <t>沪深300ETF嘉实</t>
        </is>
      </c>
      <c r="D33" s="23" t="n">
        <v>46247</v>
      </c>
      <c r="E33" s="3" t="n">
        <v>623541.66</v>
      </c>
      <c r="F33" s="3">
        <f>E33-E32</f>
        <v/>
      </c>
      <c r="G33" s="3">
        <f>F33/E32</f>
        <v/>
      </c>
      <c r="H33" s="3" t="n">
        <v>4081881.66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159919</t>
        </is>
      </c>
      <c r="C34" s="3" t="inlineStr">
        <is>
          <t>沪深300ETF嘉实</t>
        </is>
      </c>
      <c r="D34" s="23" t="n">
        <v>46248</v>
      </c>
      <c r="E34" s="3" t="n">
        <v>622731.66</v>
      </c>
      <c r="F34" s="3">
        <f>E34-E33</f>
        <v/>
      </c>
      <c r="G34" s="3">
        <f>F34/E33</f>
        <v/>
      </c>
      <c r="H34" s="3" t="n">
        <v>4081881.66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159919</t>
        </is>
      </c>
      <c r="C35" s="3" t="inlineStr">
        <is>
          <t>沪深300ETF嘉实</t>
        </is>
      </c>
      <c r="D35" s="23" t="n">
        <v>46251</v>
      </c>
      <c r="E35" s="3" t="n">
        <v>617241.66</v>
      </c>
      <c r="F35" s="3">
        <f>E35-E34</f>
        <v/>
      </c>
      <c r="G35" s="3">
        <f>F35/E34</f>
        <v/>
      </c>
      <c r="H35" s="3" t="n">
        <v>4081881.66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159919</t>
        </is>
      </c>
      <c r="C36" s="3" t="inlineStr">
        <is>
          <t>沪深300ETF嘉实</t>
        </is>
      </c>
      <c r="D36" s="23" t="n">
        <v>46252</v>
      </c>
      <c r="E36" s="3" t="n">
        <v>613281.66</v>
      </c>
      <c r="F36" s="3">
        <f>E36-E35</f>
        <v/>
      </c>
      <c r="G36" s="3">
        <f>F36/E35</f>
        <v/>
      </c>
      <c r="H36" s="3" t="n">
        <v>4081881.66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159919</t>
        </is>
      </c>
      <c r="C37" s="3" t="inlineStr">
        <is>
          <t>沪深300ETF嘉实</t>
        </is>
      </c>
      <c r="D37" s="23" t="n">
        <v>46253</v>
      </c>
      <c r="E37" s="3" t="n">
        <v>626601.66</v>
      </c>
      <c r="F37" s="3">
        <f>E37-E36</f>
        <v/>
      </c>
      <c r="G37" s="3">
        <f>F37/E36</f>
        <v/>
      </c>
      <c r="H37" s="3" t="n">
        <v>4081881.66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159919</t>
        </is>
      </c>
      <c r="C38" s="3" t="inlineStr">
        <is>
          <t>沪深300ETF嘉实</t>
        </is>
      </c>
      <c r="D38" s="23" t="n">
        <v>46254</v>
      </c>
      <c r="E38" s="3" t="n">
        <v>627141.66</v>
      </c>
      <c r="F38" s="3">
        <f>E38-E37</f>
        <v/>
      </c>
      <c r="G38" s="3">
        <f>F38/E37</f>
        <v/>
      </c>
      <c r="H38" s="3" t="n">
        <v>4081881.66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159919</t>
        </is>
      </c>
      <c r="C39" s="3" t="inlineStr">
        <is>
          <t>沪深300ETF嘉实</t>
        </is>
      </c>
      <c r="D39" s="23" t="n">
        <v>46255</v>
      </c>
      <c r="E39" s="3" t="n">
        <v>622101.66</v>
      </c>
      <c r="F39" s="3">
        <f>E39-E38</f>
        <v/>
      </c>
      <c r="G39" s="3">
        <f>F39/E38</f>
        <v/>
      </c>
      <c r="H39" s="3" t="n">
        <v>4081881.66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159919</t>
        </is>
      </c>
      <c r="C40" s="3" t="inlineStr">
        <is>
          <t>沪深300ETF嘉实</t>
        </is>
      </c>
      <c r="D40" s="23" t="n">
        <v>46258</v>
      </c>
      <c r="E40" s="3" t="n">
        <v>627861.66</v>
      </c>
      <c r="F40" s="3">
        <f>E40-E39</f>
        <v/>
      </c>
      <c r="G40" s="3">
        <f>F40/E39</f>
        <v/>
      </c>
      <c r="H40" s="3" t="n">
        <v>4081881.66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159919</t>
        </is>
      </c>
      <c r="C41" s="3" t="inlineStr">
        <is>
          <t>沪深300ETF嘉实</t>
        </is>
      </c>
      <c r="D41" s="23" t="n">
        <v>46259</v>
      </c>
      <c r="E41" s="3" t="n">
        <v>630021.66</v>
      </c>
      <c r="F41" s="3">
        <f>E41-E40</f>
        <v/>
      </c>
      <c r="G41" s="3">
        <f>F41/E40</f>
        <v/>
      </c>
      <c r="H41" s="3" t="n">
        <v>4081881.66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159919</t>
        </is>
      </c>
      <c r="C42" s="3" t="inlineStr">
        <is>
          <t>沪深300ETF嘉实</t>
        </is>
      </c>
      <c r="D42" s="23" t="n">
        <v>46260</v>
      </c>
      <c r="E42" s="3" t="n">
        <v>630381.66</v>
      </c>
      <c r="F42" s="3">
        <f>E42-E41</f>
        <v/>
      </c>
      <c r="G42" s="3">
        <f>F42/E41</f>
        <v/>
      </c>
      <c r="H42" s="3" t="n">
        <v>4081881.66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159919</t>
        </is>
      </c>
      <c r="C43" s="3" t="inlineStr">
        <is>
          <t>沪深300ETF嘉实</t>
        </is>
      </c>
      <c r="D43" s="23" t="n">
        <v>46261</v>
      </c>
      <c r="E43" s="3" t="n">
        <v>628491.66</v>
      </c>
      <c r="F43" s="3">
        <f>E43-E42</f>
        <v/>
      </c>
      <c r="G43" s="3">
        <f>F43/E42</f>
        <v/>
      </c>
      <c r="H43" s="3" t="n">
        <v>4081881.66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159919</t>
        </is>
      </c>
      <c r="C44" s="3" t="inlineStr">
        <is>
          <t>沪深300ETF嘉实</t>
        </is>
      </c>
      <c r="D44" s="23" t="n">
        <v>46262</v>
      </c>
      <c r="E44" s="3" t="n">
        <v>626241.66</v>
      </c>
      <c r="F44" s="3">
        <f>E44-E43</f>
        <v/>
      </c>
      <c r="G44" s="3">
        <f>F44/E43</f>
        <v/>
      </c>
      <c r="H44" s="3" t="n">
        <v>4081881.66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159919</t>
        </is>
      </c>
      <c r="C45" s="3" t="inlineStr">
        <is>
          <t>沪深300ETF嘉实</t>
        </is>
      </c>
      <c r="D45" s="23" t="n">
        <v>46265</v>
      </c>
      <c r="E45" s="3" t="n">
        <v>629841.66</v>
      </c>
      <c r="F45" s="3">
        <f>E45-E44</f>
        <v/>
      </c>
      <c r="G45" s="3">
        <f>F45/E44</f>
        <v/>
      </c>
      <c r="H45" s="3" t="n">
        <v>4081881.66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159919</t>
        </is>
      </c>
      <c r="C46" s="3" t="inlineStr">
        <is>
          <t>沪深300ETF嘉实</t>
        </is>
      </c>
      <c r="D46" s="23" t="n">
        <v>46266</v>
      </c>
      <c r="E46" s="3" t="n">
        <v>623001.66</v>
      </c>
      <c r="F46" s="3">
        <f>E46-E45</f>
        <v/>
      </c>
      <c r="G46" s="3">
        <f>F46/E45</f>
        <v/>
      </c>
      <c r="H46" s="3" t="n">
        <v>4081881.66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159919</t>
        </is>
      </c>
      <c r="C47" s="3" t="inlineStr">
        <is>
          <t>沪深300ETF嘉实</t>
        </is>
      </c>
      <c r="D47" s="23" t="n">
        <v>46267</v>
      </c>
      <c r="E47" s="3" t="n">
        <v>622641.66</v>
      </c>
      <c r="F47" s="3">
        <f>E47-E46</f>
        <v/>
      </c>
      <c r="G47" s="3">
        <f>F47/E46</f>
        <v/>
      </c>
      <c r="H47" s="3" t="n">
        <v>4081881.66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159919</t>
        </is>
      </c>
      <c r="C48" s="3" t="inlineStr">
        <is>
          <t>沪深300ETF嘉实</t>
        </is>
      </c>
      <c r="D48" s="23" t="n">
        <v>46268</v>
      </c>
      <c r="E48" s="3" t="n">
        <v>623541.66</v>
      </c>
      <c r="F48" s="3">
        <f>E48-E47</f>
        <v/>
      </c>
      <c r="G48" s="3">
        <f>F48/E47</f>
        <v/>
      </c>
      <c r="H48" s="3" t="n">
        <v>4081881.66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159919</t>
        </is>
      </c>
      <c r="C49" s="3" t="inlineStr">
        <is>
          <t>沪深300ETF嘉实</t>
        </is>
      </c>
      <c r="D49" s="23" t="n">
        <v>46269</v>
      </c>
      <c r="E49" s="3" t="n">
        <v>625341.66</v>
      </c>
      <c r="F49" s="3">
        <f>E49-E48</f>
        <v/>
      </c>
      <c r="G49" s="3">
        <f>F49/E48</f>
        <v/>
      </c>
      <c r="H49" s="3" t="n">
        <v>4081881.66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159919</t>
        </is>
      </c>
      <c r="C50" s="3" t="inlineStr">
        <is>
          <t>沪深300ETF嘉实</t>
        </is>
      </c>
      <c r="D50" s="23" t="n">
        <v>46272</v>
      </c>
      <c r="E50" s="3" t="n">
        <v>628761.66</v>
      </c>
      <c r="F50" s="3">
        <f>E50-E49</f>
        <v/>
      </c>
      <c r="G50" s="3">
        <f>F50/E49</f>
        <v/>
      </c>
      <c r="H50" s="3" t="n">
        <v>4081881.66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159919</t>
        </is>
      </c>
      <c r="C51" s="3" t="inlineStr">
        <is>
          <t>沪深300ETF嘉实</t>
        </is>
      </c>
      <c r="D51" s="23" t="n">
        <v>46273</v>
      </c>
      <c r="E51" s="3" t="n">
        <v>625701.66</v>
      </c>
      <c r="F51" s="3">
        <f>E51-E50</f>
        <v/>
      </c>
      <c r="G51" s="3">
        <f>F51/E50</f>
        <v/>
      </c>
      <c r="H51" s="3" t="n">
        <v>4081881.66</v>
      </c>
      <c r="I51" s="3">
        <f>F51/H51</f>
        <v/>
      </c>
    </row>
    <row r="52">
      <c r="A52" t="inlineStr">
        <is>
          <t>深交所</t>
        </is>
      </c>
      <c r="B52" t="inlineStr">
        <is>
          <t>159919</t>
        </is>
      </c>
      <c r="C52" t="inlineStr">
        <is>
          <t>沪深300ETF嘉实</t>
        </is>
      </c>
      <c r="D52" s="23" t="n">
        <v>46274</v>
      </c>
      <c r="E52" t="n">
        <v>624711.66</v>
      </c>
      <c r="F52">
        <f>E52-E51</f>
        <v/>
      </c>
      <c r="G52">
        <f>F52/E51</f>
        <v/>
      </c>
      <c r="H52" t="n">
        <v>4081881.66</v>
      </c>
      <c r="I52">
        <f>F52/H52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7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  <row r="26">
      <c r="A26" s="3" t="inlineStr">
        <is>
          <t>上交所</t>
        </is>
      </c>
      <c r="B26" s="3" t="inlineStr">
        <is>
          <t>510300</t>
        </is>
      </c>
      <c r="C26" s="3" t="inlineStr">
        <is>
          <t>沪深300etf华泰柏瑞</t>
        </is>
      </c>
      <c r="D26" s="23" t="n">
        <v>46238</v>
      </c>
      <c r="E26" s="3" t="n">
        <v>2653068.77</v>
      </c>
      <c r="F26" s="3">
        <f>E26-E25</f>
        <v/>
      </c>
      <c r="G26" s="3">
        <f>F26/E25</f>
        <v/>
      </c>
      <c r="H26" s="3" t="n">
        <v>8882958.77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510300</t>
        </is>
      </c>
      <c r="C27" s="3" t="inlineStr">
        <is>
          <t>沪深300etf华泰柏瑞</t>
        </is>
      </c>
      <c r="D27" s="23" t="n">
        <v>46239</v>
      </c>
      <c r="E27" s="3" t="n">
        <v>2593758.77</v>
      </c>
      <c r="F27" s="3">
        <f>E27-E26</f>
        <v/>
      </c>
      <c r="G27" s="3">
        <f>F27/E26</f>
        <v/>
      </c>
      <c r="H27" s="3" t="n">
        <v>8882958.77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510300</t>
        </is>
      </c>
      <c r="C28" s="3" t="inlineStr">
        <is>
          <t>沪深300etf华泰柏瑞</t>
        </is>
      </c>
      <c r="D28" s="23" t="n">
        <v>46240</v>
      </c>
      <c r="E28" s="3" t="n">
        <v>2570538.77</v>
      </c>
      <c r="F28" s="3">
        <f>E28-E27</f>
        <v/>
      </c>
      <c r="G28" s="3">
        <f>F28/E27</f>
        <v/>
      </c>
      <c r="H28" s="3" t="n">
        <v>8882958.77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510300</t>
        </is>
      </c>
      <c r="C29" s="3" t="inlineStr">
        <is>
          <t>沪深300etf华泰柏瑞</t>
        </is>
      </c>
      <c r="D29" s="23" t="n">
        <v>46241</v>
      </c>
      <c r="E29" s="3" t="n">
        <v>2512848.77</v>
      </c>
      <c r="F29" s="3">
        <f>E29-E28</f>
        <v/>
      </c>
      <c r="G29" s="3">
        <f>F29/E28</f>
        <v/>
      </c>
      <c r="H29" s="3" t="n">
        <v>8882958.77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510300</t>
        </is>
      </c>
      <c r="C30" s="3" t="inlineStr">
        <is>
          <t>沪深300etf华泰柏瑞</t>
        </is>
      </c>
      <c r="D30" s="23" t="n">
        <v>46244</v>
      </c>
      <c r="E30" s="3" t="n">
        <v>2486118.77</v>
      </c>
      <c r="F30" s="3">
        <f>E30-E29</f>
        <v/>
      </c>
      <c r="G30" s="3">
        <f>F30/E29</f>
        <v/>
      </c>
      <c r="H30" s="3" t="n">
        <v>8882958.77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510300</t>
        </is>
      </c>
      <c r="C31" s="3" t="inlineStr">
        <is>
          <t>沪深300etf华泰柏瑞</t>
        </is>
      </c>
      <c r="D31" s="23" t="n">
        <v>46245</v>
      </c>
      <c r="E31" s="3" t="n">
        <v>2482428.77</v>
      </c>
      <c r="F31" s="3">
        <f>E31-E30</f>
        <v/>
      </c>
      <c r="G31" s="3">
        <f>F31/E30</f>
        <v/>
      </c>
      <c r="H31" s="3" t="n">
        <v>8882958.77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510300</t>
        </is>
      </c>
      <c r="C32" s="3" t="inlineStr">
        <is>
          <t>沪深300etf华泰柏瑞</t>
        </is>
      </c>
      <c r="D32" s="23" t="n">
        <v>46246</v>
      </c>
      <c r="E32" s="3" t="n">
        <v>2416818.77</v>
      </c>
      <c r="F32" s="3">
        <f>E32-E31</f>
        <v/>
      </c>
      <c r="G32" s="3">
        <f>F32/E31</f>
        <v/>
      </c>
      <c r="H32" s="3" t="n">
        <v>8882958.77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510300</t>
        </is>
      </c>
      <c r="C33" s="3" t="inlineStr">
        <is>
          <t>沪深300etf华泰柏瑞</t>
        </is>
      </c>
      <c r="D33" s="23" t="n">
        <v>46251</v>
      </c>
      <c r="E33" s="3" t="n">
        <v>2304408.77</v>
      </c>
      <c r="F33" s="3">
        <f>E33-E32</f>
        <v/>
      </c>
      <c r="G33" s="3">
        <f>F33/E32</f>
        <v/>
      </c>
      <c r="H33" s="3" t="n">
        <v>8882958.77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510300</t>
        </is>
      </c>
      <c r="C34" s="3" t="inlineStr">
        <is>
          <t>沪深300etf华泰柏瑞</t>
        </is>
      </c>
      <c r="D34" s="23" t="n">
        <v>46253</v>
      </c>
      <c r="E34" s="3" t="n">
        <v>2385858.77</v>
      </c>
      <c r="F34" s="3">
        <f>E34-E33</f>
        <v/>
      </c>
      <c r="G34" s="3">
        <f>F34/E33</f>
        <v/>
      </c>
      <c r="H34" s="3" t="n">
        <v>8882958.77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510300</t>
        </is>
      </c>
      <c r="C35" s="3" t="inlineStr">
        <is>
          <t>沪深300etf华泰柏瑞</t>
        </is>
      </c>
      <c r="D35" s="23" t="n">
        <v>46254</v>
      </c>
      <c r="E35" s="3" t="n">
        <v>2374338.77</v>
      </c>
      <c r="F35" s="3">
        <f>E35-E34</f>
        <v/>
      </c>
      <c r="G35" s="3">
        <f>F35/E34</f>
        <v/>
      </c>
      <c r="H35" s="3" t="n">
        <v>8882958.77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510300</t>
        </is>
      </c>
      <c r="C36" s="3" t="inlineStr">
        <is>
          <t>沪深300etf华泰柏瑞</t>
        </is>
      </c>
      <c r="D36" s="23" t="n">
        <v>46258</v>
      </c>
      <c r="E36" s="3" t="n">
        <v>2380908.77</v>
      </c>
      <c r="F36" s="3">
        <f>E36-E35</f>
        <v/>
      </c>
      <c r="G36" s="3">
        <f>F36/E35</f>
        <v/>
      </c>
      <c r="H36" s="3" t="n">
        <v>8882958.77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510300</t>
        </is>
      </c>
      <c r="C37" s="3" t="inlineStr">
        <is>
          <t>沪深300etf华泰柏瑞</t>
        </is>
      </c>
      <c r="D37" s="23" t="n">
        <v>46259</v>
      </c>
      <c r="E37" s="3" t="n">
        <v>2405298.77</v>
      </c>
      <c r="F37" s="3">
        <f>E37-E36</f>
        <v/>
      </c>
      <c r="G37" s="3">
        <f>F37/E36</f>
        <v/>
      </c>
      <c r="H37" s="3" t="n">
        <v>8882958.77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510300</t>
        </is>
      </c>
      <c r="C38" s="3" t="inlineStr">
        <is>
          <t>沪深300etf华泰柏瑞</t>
        </is>
      </c>
      <c r="D38" s="23" t="n">
        <v>46260</v>
      </c>
      <c r="E38" s="3" t="n">
        <v>2385318.77</v>
      </c>
      <c r="F38" s="3">
        <f>E38-E37</f>
        <v/>
      </c>
      <c r="G38" s="3">
        <f>F38/E37</f>
        <v/>
      </c>
      <c r="H38" s="3" t="n">
        <v>8882958.77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510300</t>
        </is>
      </c>
      <c r="C39" s="3" t="inlineStr">
        <is>
          <t>沪深300etf华泰柏瑞</t>
        </is>
      </c>
      <c r="D39" s="23" t="n">
        <v>46262</v>
      </c>
      <c r="E39" s="3" t="n">
        <v>2329518.77</v>
      </c>
      <c r="F39" s="3">
        <f>E39-E38</f>
        <v/>
      </c>
      <c r="G39" s="3">
        <f>F39/E38</f>
        <v/>
      </c>
      <c r="H39" s="3" t="n">
        <v>8882958.77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510300</t>
        </is>
      </c>
      <c r="C40" s="3" t="inlineStr">
        <is>
          <t>沪深300etf华泰柏瑞</t>
        </is>
      </c>
      <c r="D40" s="23" t="n">
        <v>46265</v>
      </c>
      <c r="E40" s="3" t="n">
        <v>2350398.77</v>
      </c>
      <c r="F40" s="3">
        <f>E40-E39</f>
        <v/>
      </c>
      <c r="G40" s="3">
        <f>F40/E39</f>
        <v/>
      </c>
      <c r="H40" s="3" t="n">
        <v>8882958.77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510300</t>
        </is>
      </c>
      <c r="C41" s="3" t="inlineStr">
        <is>
          <t>沪深300etf华泰柏瑞</t>
        </is>
      </c>
      <c r="D41" s="23" t="n">
        <v>46266</v>
      </c>
      <c r="E41" s="3" t="n">
        <v>2299998.77</v>
      </c>
      <c r="F41" s="3">
        <f>E41-E40</f>
        <v/>
      </c>
      <c r="G41" s="3">
        <f>F41/E40</f>
        <v/>
      </c>
      <c r="H41" s="3" t="n">
        <v>8882958.77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510300</t>
        </is>
      </c>
      <c r="C42" s="3" t="inlineStr">
        <is>
          <t>沪深300etf华泰柏瑞</t>
        </is>
      </c>
      <c r="D42" s="23" t="n">
        <v>46267</v>
      </c>
      <c r="E42" s="3" t="n">
        <v>2295678.77</v>
      </c>
      <c r="F42" s="3">
        <f>E42-E41</f>
        <v/>
      </c>
      <c r="G42" s="3">
        <f>F42/E41</f>
        <v/>
      </c>
      <c r="H42" s="3" t="n">
        <v>8882958.77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510300</t>
        </is>
      </c>
      <c r="C43" s="3" t="inlineStr">
        <is>
          <t>沪深300etf华泰柏瑞</t>
        </is>
      </c>
      <c r="D43" s="23" t="n">
        <v>46268</v>
      </c>
      <c r="E43" s="3" t="n">
        <v>2312058.77</v>
      </c>
      <c r="F43" s="3">
        <f>E43-E42</f>
        <v/>
      </c>
      <c r="G43" s="3">
        <f>F43/E42</f>
        <v/>
      </c>
      <c r="H43" s="3" t="n">
        <v>8882958.77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510300</t>
        </is>
      </c>
      <c r="C44" s="3" t="inlineStr">
        <is>
          <t>沪深300etf华泰柏瑞</t>
        </is>
      </c>
      <c r="D44" s="23" t="n">
        <v>46269</v>
      </c>
      <c r="E44" s="3" t="n">
        <v>2337708.77</v>
      </c>
      <c r="F44" s="3">
        <f>E44-E43</f>
        <v/>
      </c>
      <c r="G44" s="3">
        <f>F44/E43</f>
        <v/>
      </c>
      <c r="H44" s="3" t="n">
        <v>8882958.77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510300</t>
        </is>
      </c>
      <c r="C45" s="3" t="inlineStr">
        <is>
          <t>沪深300etf华泰柏瑞</t>
        </is>
      </c>
      <c r="D45" s="23" t="n">
        <v>46272</v>
      </c>
      <c r="E45" s="3" t="n">
        <v>2364888.77</v>
      </c>
      <c r="F45" s="3">
        <f>E45-E44</f>
        <v/>
      </c>
      <c r="G45" s="3">
        <f>F45/E44</f>
        <v/>
      </c>
      <c r="H45" s="3" t="n">
        <v>8882958.77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510300</t>
        </is>
      </c>
      <c r="C46" s="3" t="inlineStr">
        <is>
          <t>沪深300etf华泰柏瑞</t>
        </is>
      </c>
      <c r="D46" s="23" t="n">
        <v>46273</v>
      </c>
      <c r="E46" s="3" t="n">
        <v>2346888.77</v>
      </c>
      <c r="F46" s="3">
        <f>E46-E45</f>
        <v/>
      </c>
      <c r="G46" s="3">
        <f>F46/E45</f>
        <v/>
      </c>
      <c r="H46" s="3" t="n">
        <v>8882958.77</v>
      </c>
      <c r="I46" s="3">
        <f>F46/H46</f>
        <v/>
      </c>
    </row>
    <row r="47">
      <c r="A47" t="inlineStr">
        <is>
          <t>上交所</t>
        </is>
      </c>
      <c r="B47" t="inlineStr">
        <is>
          <t>510300</t>
        </is>
      </c>
      <c r="C47" t="inlineStr">
        <is>
          <t>沪深300etf华泰柏瑞</t>
        </is>
      </c>
      <c r="D47" s="23" t="n">
        <v>46274</v>
      </c>
      <c r="E47" t="n">
        <v>2318538.77</v>
      </c>
      <c r="F47">
        <f>E47-E46</f>
        <v/>
      </c>
      <c r="G47">
        <f>F47/E46</f>
        <v/>
      </c>
      <c r="H47" t="n">
        <v>8882958.77</v>
      </c>
      <c r="I47">
        <f>F47/H47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连续2日减持</t>
        </is>
      </c>
      <c r="I2" s="13">
        <f>SUM(INDEX('510050'!$I:$I,COUNTA('510050'!$E:$E)-2+1):INDEX('510050'!$I:$I,COUNTA('510050'!$E:$E)))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连续2日减持</t>
        </is>
      </c>
      <c r="I3" s="13">
        <f>SUM(INDEX('510300'!$I:$I,COUNTA('510300'!$E:$E)-2+1):INDEX('510300'!$I:$I,COUNTA('510300'!$E:$E)))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连续2日减持</t>
        </is>
      </c>
      <c r="I4" s="13">
        <f>SUM(INDEX('159919'!$I:$I,COUNTA('159919'!$E:$E)-2+1):INDEX('159919'!$I:$I,COUNTA('159919'!$E:$E)))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反转减持</t>
        </is>
      </c>
      <c r="I5" s="13">
        <f>SUM(INDEX('159915'!$I:$I,COUNTA('159915'!$E:$E)-1+1):INDEX('159915'!$I:$I,COUNTA('159915'!$E:$E)))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2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159915</t>
        </is>
      </c>
      <c r="C26" s="3" t="inlineStr">
        <is>
          <t>易方达创业板ETF</t>
        </is>
      </c>
      <c r="D26" s="23" t="n">
        <v>46238</v>
      </c>
      <c r="E26" s="3" t="n">
        <v>1940445.49</v>
      </c>
      <c r="F26" s="3">
        <f>E26-E25</f>
        <v/>
      </c>
      <c r="G26" s="3">
        <f>F26/E25</f>
        <v/>
      </c>
      <c r="H26" s="3" t="n">
        <v>3150245.49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159915</t>
        </is>
      </c>
      <c r="C27" s="3" t="inlineStr">
        <is>
          <t>易方达创业板ETF</t>
        </is>
      </c>
      <c r="D27" s="23" t="n">
        <v>46239</v>
      </c>
      <c r="E27" s="3" t="n">
        <v>1897845.49</v>
      </c>
      <c r="F27" s="3">
        <f>E27-E26</f>
        <v/>
      </c>
      <c r="G27" s="3">
        <f>F27/E26</f>
        <v/>
      </c>
      <c r="H27" s="3" t="n">
        <v>3150245.49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159915</t>
        </is>
      </c>
      <c r="C28" s="3" t="inlineStr">
        <is>
          <t>易方达创业板ETF</t>
        </is>
      </c>
      <c r="D28" s="23" t="n">
        <v>46240</v>
      </c>
      <c r="E28" s="3" t="n">
        <v>1876845.49</v>
      </c>
      <c r="F28" s="3">
        <f>E28-E27</f>
        <v/>
      </c>
      <c r="G28" s="3">
        <f>F28/E27</f>
        <v/>
      </c>
      <c r="H28" s="3" t="n">
        <v>3150245.49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159915</t>
        </is>
      </c>
      <c r="C29" s="3" t="inlineStr">
        <is>
          <t>易方达创业板ETF</t>
        </is>
      </c>
      <c r="D29" s="23" t="n">
        <v>46241</v>
      </c>
      <c r="E29" s="3" t="n">
        <v>1833945.49</v>
      </c>
      <c r="F29" s="3">
        <f>E29-E28</f>
        <v/>
      </c>
      <c r="G29" s="3">
        <f>F29/E28</f>
        <v/>
      </c>
      <c r="H29" s="3" t="n">
        <v>3150245.49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159915</t>
        </is>
      </c>
      <c r="C30" s="3" t="inlineStr">
        <is>
          <t>易方达创业板ETF</t>
        </is>
      </c>
      <c r="D30" s="23" t="n">
        <v>46244</v>
      </c>
      <c r="E30" s="3" t="n">
        <v>1857445.49</v>
      </c>
      <c r="F30" s="3">
        <f>E30-E29</f>
        <v/>
      </c>
      <c r="G30" s="3">
        <f>F30/E29</f>
        <v/>
      </c>
      <c r="H30" s="3" t="n">
        <v>3150245.49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159915</t>
        </is>
      </c>
      <c r="C31" s="3" t="inlineStr">
        <is>
          <t>易方达创业板ETF</t>
        </is>
      </c>
      <c r="D31" s="23" t="n">
        <v>46245</v>
      </c>
      <c r="E31" s="3" t="n">
        <v>1816745.49</v>
      </c>
      <c r="F31" s="3">
        <f>E31-E30</f>
        <v/>
      </c>
      <c r="G31" s="3">
        <f>F31/E30</f>
        <v/>
      </c>
      <c r="H31" s="3" t="n">
        <v>3150245.49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159915</t>
        </is>
      </c>
      <c r="C32" s="3" t="inlineStr">
        <is>
          <t>易方达创业板ETF</t>
        </is>
      </c>
      <c r="D32" s="23" t="n">
        <v>46246</v>
      </c>
      <c r="E32" s="3" t="n">
        <v>1798145.49</v>
      </c>
      <c r="F32" s="3">
        <f>E32-E31</f>
        <v/>
      </c>
      <c r="G32" s="3">
        <f>F32/E31</f>
        <v/>
      </c>
      <c r="H32" s="3" t="n">
        <v>3150245.49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159915</t>
        </is>
      </c>
      <c r="C33" s="3" t="inlineStr">
        <is>
          <t>易方达创业板ETF</t>
        </is>
      </c>
      <c r="D33" s="23" t="n">
        <v>46247</v>
      </c>
      <c r="E33" s="3" t="n">
        <v>1766045.49</v>
      </c>
      <c r="F33" s="3">
        <f>E33-E32</f>
        <v/>
      </c>
      <c r="G33" s="3">
        <f>F33/E32</f>
        <v/>
      </c>
      <c r="H33" s="3" t="n">
        <v>3150245.49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159915</t>
        </is>
      </c>
      <c r="C34" s="3" t="inlineStr">
        <is>
          <t>易方达创业板ETF</t>
        </is>
      </c>
      <c r="D34" s="23" t="n">
        <v>46248</v>
      </c>
      <c r="E34" s="3" t="n">
        <v>1746045.49</v>
      </c>
      <c r="F34" s="3">
        <f>E34-E33</f>
        <v/>
      </c>
      <c r="G34" s="3">
        <f>F34/E33</f>
        <v/>
      </c>
      <c r="H34" s="3" t="n">
        <v>3150245.49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159915</t>
        </is>
      </c>
      <c r="C35" s="3" t="inlineStr">
        <is>
          <t>易方达创业板ETF</t>
        </is>
      </c>
      <c r="D35" s="23" t="n">
        <v>46251</v>
      </c>
      <c r="E35" s="3" t="n">
        <v>1711445.49</v>
      </c>
      <c r="F35" s="3">
        <f>E35-E34</f>
        <v/>
      </c>
      <c r="G35" s="3">
        <f>F35/E34</f>
        <v/>
      </c>
      <c r="H35" s="3" t="n">
        <v>3150245.49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159915</t>
        </is>
      </c>
      <c r="C36" s="3" t="inlineStr">
        <is>
          <t>易方达创业板ETF</t>
        </is>
      </c>
      <c r="D36" s="23" t="n">
        <v>46252</v>
      </c>
      <c r="E36" s="3" t="n">
        <v>1719145.49</v>
      </c>
      <c r="F36" s="3">
        <f>E36-E35</f>
        <v/>
      </c>
      <c r="G36" s="3">
        <f>F36/E35</f>
        <v/>
      </c>
      <c r="H36" s="3" t="n">
        <v>3150245.49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159915</t>
        </is>
      </c>
      <c r="C37" s="3" t="inlineStr">
        <is>
          <t>易方达创业板ETF</t>
        </is>
      </c>
      <c r="D37" s="23" t="n">
        <v>46253</v>
      </c>
      <c r="E37" s="3" t="n">
        <v>1841045.49</v>
      </c>
      <c r="F37" s="3">
        <f>E37-E36</f>
        <v/>
      </c>
      <c r="G37" s="3">
        <f>F37/E36</f>
        <v/>
      </c>
      <c r="H37" s="3" t="n">
        <v>3150245.49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159915</t>
        </is>
      </c>
      <c r="C38" s="3" t="inlineStr">
        <is>
          <t>易方达创业板ETF</t>
        </is>
      </c>
      <c r="D38" s="23" t="n">
        <v>46254</v>
      </c>
      <c r="E38" s="3" t="n">
        <v>1816045.49</v>
      </c>
      <c r="F38" s="3">
        <f>E38-E37</f>
        <v/>
      </c>
      <c r="G38" s="3">
        <f>F38/E37</f>
        <v/>
      </c>
      <c r="H38" s="3" t="n">
        <v>3150245.49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159915</t>
        </is>
      </c>
      <c r="C39" s="3" t="inlineStr">
        <is>
          <t>易方达创业板ETF</t>
        </is>
      </c>
      <c r="D39" s="23" t="n">
        <v>46255</v>
      </c>
      <c r="E39" s="3" t="n">
        <v>1774545.49</v>
      </c>
      <c r="F39" s="3">
        <f>E39-E38</f>
        <v/>
      </c>
      <c r="G39" s="3">
        <f>F39/E38</f>
        <v/>
      </c>
      <c r="H39" s="3" t="n">
        <v>3150245.49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159915</t>
        </is>
      </c>
      <c r="C40" s="3" t="inlineStr">
        <is>
          <t>易方达创业板ETF</t>
        </is>
      </c>
      <c r="D40" s="23" t="n">
        <v>46258</v>
      </c>
      <c r="E40" s="3" t="n">
        <v>1831645.49</v>
      </c>
      <c r="F40" s="3">
        <f>E40-E39</f>
        <v/>
      </c>
      <c r="G40" s="3">
        <f>F40/E39</f>
        <v/>
      </c>
      <c r="H40" s="3" t="n">
        <v>3150245.49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159915</t>
        </is>
      </c>
      <c r="C41" s="3" t="inlineStr">
        <is>
          <t>易方达创业板ETF</t>
        </is>
      </c>
      <c r="D41" s="23" t="n">
        <v>46259</v>
      </c>
      <c r="E41" s="3" t="n">
        <v>1900445.49</v>
      </c>
      <c r="F41" s="3">
        <f>E41-E40</f>
        <v/>
      </c>
      <c r="G41" s="3">
        <f>F41/E40</f>
        <v/>
      </c>
      <c r="H41" s="3" t="n">
        <v>3150245.49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159915</t>
        </is>
      </c>
      <c r="C42" s="3" t="inlineStr">
        <is>
          <t>易方达创业板ETF</t>
        </is>
      </c>
      <c r="D42" s="23" t="n">
        <v>46260</v>
      </c>
      <c r="E42" s="3" t="n">
        <v>1872245.49</v>
      </c>
      <c r="F42" s="3">
        <f>E42-E41</f>
        <v/>
      </c>
      <c r="G42" s="3">
        <f>F42/E41</f>
        <v/>
      </c>
      <c r="H42" s="3" t="n">
        <v>3150245.49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159915</t>
        </is>
      </c>
      <c r="C43" s="3" t="inlineStr">
        <is>
          <t>易方达创业板ETF</t>
        </is>
      </c>
      <c r="D43" s="23" t="n">
        <v>46261</v>
      </c>
      <c r="E43" s="3" t="n">
        <v>1879145.49</v>
      </c>
      <c r="F43" s="3">
        <f>E43-E42</f>
        <v/>
      </c>
      <c r="G43" s="3">
        <f>F43/E42</f>
        <v/>
      </c>
      <c r="H43" s="3" t="n">
        <v>3150245.49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159915</t>
        </is>
      </c>
      <c r="C44" s="3" t="inlineStr">
        <is>
          <t>易方达创业板ETF</t>
        </is>
      </c>
      <c r="D44" s="23" t="n">
        <v>46262</v>
      </c>
      <c r="E44" s="3" t="n">
        <v>1876245.49</v>
      </c>
      <c r="F44" s="3">
        <f>E44-E43</f>
        <v/>
      </c>
      <c r="G44" s="3">
        <f>F44/E43</f>
        <v/>
      </c>
      <c r="H44" s="3" t="n">
        <v>3150245.49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159915</t>
        </is>
      </c>
      <c r="C45" s="3" t="inlineStr">
        <is>
          <t>易方达创业板ETF</t>
        </is>
      </c>
      <c r="D45" s="23" t="n">
        <v>46265</v>
      </c>
      <c r="E45" s="3" t="n">
        <v>1891645.49</v>
      </c>
      <c r="F45" s="3">
        <f>E45-E44</f>
        <v/>
      </c>
      <c r="G45" s="3">
        <f>F45/E44</f>
        <v/>
      </c>
      <c r="H45" s="3" t="n">
        <v>3150245.49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159915</t>
        </is>
      </c>
      <c r="C46" s="3" t="inlineStr">
        <is>
          <t>易方达创业板ETF</t>
        </is>
      </c>
      <c r="D46" s="23" t="n">
        <v>46266</v>
      </c>
      <c r="E46" s="3" t="n">
        <v>1904445.49</v>
      </c>
      <c r="F46" s="3">
        <f>E46-E45</f>
        <v/>
      </c>
      <c r="G46" s="3">
        <f>F46/E45</f>
        <v/>
      </c>
      <c r="H46" s="3" t="n">
        <v>3150245.49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159915</t>
        </is>
      </c>
      <c r="C47" s="3" t="inlineStr">
        <is>
          <t>易方达创业板ETF</t>
        </is>
      </c>
      <c r="D47" s="23" t="n">
        <v>46267</v>
      </c>
      <c r="E47" s="3" t="n">
        <v>1948045.49</v>
      </c>
      <c r="F47" s="3">
        <f>E47-E46</f>
        <v/>
      </c>
      <c r="G47" s="3">
        <f>F47/E46</f>
        <v/>
      </c>
      <c r="H47" s="3" t="n">
        <v>3150245.49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159915</t>
        </is>
      </c>
      <c r="C48" s="3" t="inlineStr">
        <is>
          <t>易方达创业板ETF</t>
        </is>
      </c>
      <c r="D48" s="23" t="n">
        <v>46268</v>
      </c>
      <c r="E48" s="3" t="n">
        <v>1982845.49</v>
      </c>
      <c r="F48" s="3">
        <f>E48-E47</f>
        <v/>
      </c>
      <c r="G48" s="3">
        <f>F48/E47</f>
        <v/>
      </c>
      <c r="H48" s="3" t="n">
        <v>3150245.49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159915</t>
        </is>
      </c>
      <c r="C49" s="3" t="inlineStr">
        <is>
          <t>易方达创业板ETF</t>
        </is>
      </c>
      <c r="D49" s="23" t="n">
        <v>46269</v>
      </c>
      <c r="E49" s="3" t="n">
        <v>2008945.49</v>
      </c>
      <c r="F49" s="3">
        <f>E49-E48</f>
        <v/>
      </c>
      <c r="G49" s="3">
        <f>F49/E48</f>
        <v/>
      </c>
      <c r="H49" s="3" t="n">
        <v>3150245.49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159915</t>
        </is>
      </c>
      <c r="C50" s="3" t="inlineStr">
        <is>
          <t>易方达创业板ETF</t>
        </is>
      </c>
      <c r="D50" s="23" t="n">
        <v>46272</v>
      </c>
      <c r="E50" s="3" t="n">
        <v>1929145.49</v>
      </c>
      <c r="F50" s="3">
        <f>E50-E49</f>
        <v/>
      </c>
      <c r="G50" s="3">
        <f>F50/E49</f>
        <v/>
      </c>
      <c r="H50" s="3" t="n">
        <v>3150245.49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159915</t>
        </is>
      </c>
      <c r="C51" s="3" t="inlineStr">
        <is>
          <t>易方达创业板ETF</t>
        </is>
      </c>
      <c r="D51" s="23" t="n">
        <v>46273</v>
      </c>
      <c r="E51" s="3" t="n">
        <v>1936445.49</v>
      </c>
      <c r="F51" s="3">
        <f>E51-E50</f>
        <v/>
      </c>
      <c r="G51" s="3">
        <f>F51/E50</f>
        <v/>
      </c>
      <c r="H51" s="3" t="n">
        <v>3150245.49</v>
      </c>
      <c r="I51" s="3">
        <f>F51/H51</f>
        <v/>
      </c>
    </row>
    <row r="52">
      <c r="A52" t="inlineStr">
        <is>
          <t>深交所</t>
        </is>
      </c>
      <c r="B52" t="inlineStr">
        <is>
          <t>159915</t>
        </is>
      </c>
      <c r="C52" t="inlineStr">
        <is>
          <t>易方达创业板ETF</t>
        </is>
      </c>
      <c r="D52" s="23" t="n">
        <v>46274</v>
      </c>
      <c r="E52" t="n">
        <v>1935645.49</v>
      </c>
      <c r="F52">
        <f>E52-E51</f>
        <v/>
      </c>
      <c r="G52">
        <f>F52/E51</f>
        <v/>
      </c>
      <c r="H52" t="n">
        <v>3150245.49</v>
      </c>
      <c r="I52">
        <f>F52/H52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2026-09-10T00:00:55Z</dcterms:modified>
</cp:coreProperties>
</file>