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t="inlineStr">
        <is>
          <t>上交所</t>
        </is>
      </c>
      <c r="B28" t="inlineStr">
        <is>
          <t>510050</t>
        </is>
      </c>
      <c r="C28" t="inlineStr">
        <is>
          <t>上证50华夏</t>
        </is>
      </c>
      <c r="D28" s="23" t="n">
        <v>46240</v>
      </c>
      <c r="E28" t="n">
        <v>710796.6800000001</v>
      </c>
      <c r="F28">
        <f>E28-E27</f>
        <v/>
      </c>
      <c r="G28">
        <f>F28/E27</f>
        <v/>
      </c>
      <c r="H28" t="n">
        <v>5666466.68</v>
      </c>
      <c r="I28">
        <f>F28/H28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t="inlineStr">
        <is>
          <t>深交所</t>
        </is>
      </c>
      <c r="B28" t="inlineStr">
        <is>
          <t>159919</t>
        </is>
      </c>
      <c r="C28" t="inlineStr">
        <is>
          <t>沪深300ETF嘉实</t>
        </is>
      </c>
      <c r="D28" s="23" t="n">
        <v>46240</v>
      </c>
      <c r="E28" t="n">
        <v>648831.66</v>
      </c>
      <c r="F28">
        <f>E28-E27</f>
        <v/>
      </c>
      <c r="G28">
        <f>F28/E27</f>
        <v/>
      </c>
      <c r="H28" t="n">
        <v>4081881.66</v>
      </c>
      <c r="I28">
        <f>F28/H28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t="inlineStr">
        <is>
          <t>上交所</t>
        </is>
      </c>
      <c r="B28" t="inlineStr">
        <is>
          <t>510300</t>
        </is>
      </c>
      <c r="C28" t="inlineStr">
        <is>
          <t>沪深300etf华泰柏瑞</t>
        </is>
      </c>
      <c r="D28" s="23" t="n">
        <v>46240</v>
      </c>
      <c r="E28" t="n">
        <v>2570538.77</v>
      </c>
      <c r="F28">
        <f>E28-E27</f>
        <v/>
      </c>
      <c r="G28">
        <f>F28/E27</f>
        <v/>
      </c>
      <c r="H28" t="n">
        <v>8882958.77</v>
      </c>
      <c r="I28">
        <f>F28/H28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连续3日减持</t>
        </is>
      </c>
      <c r="I2" s="13">
        <f>SUM(INDEX('510050'!$I:$I,COUNTA('510050'!$E:$E)-3+1):INDEX('510050'!$I:$I,COUNTA('510050'!$E:$E)))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连续3日减持</t>
        </is>
      </c>
      <c r="I3" s="13">
        <f>SUM(INDEX('510300'!$I:$I,COUNTA('510300'!$E:$E)-3+1):INDEX('510300'!$I:$I,COUNTA('510300'!$E:$E)))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连续3日减持</t>
        </is>
      </c>
      <c r="I4" s="13">
        <f>SUM(INDEX('159919'!$I:$I,COUNTA('159919'!$E:$E)-3+1):INDEX('159919'!$I:$I,COUNTA('159919'!$E:$E)))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连续5日减持</t>
        </is>
      </c>
      <c r="I5" s="13">
        <f>SUM(INDEX('159915'!$I:$I,COUNTA('159915'!$E:$E)-5+1):INDEX('159915'!$I:$I,COUNTA('159915'!$E:$E)))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t="inlineStr">
        <is>
          <t>深交所</t>
        </is>
      </c>
      <c r="B28" t="inlineStr">
        <is>
          <t>159915</t>
        </is>
      </c>
      <c r="C28" t="inlineStr">
        <is>
          <t>易方达创业板ETF</t>
        </is>
      </c>
      <c r="D28" s="23" t="n">
        <v>46240</v>
      </c>
      <c r="E28" t="n">
        <v>1876845.49</v>
      </c>
      <c r="F28">
        <f>E28-E27</f>
        <v/>
      </c>
      <c r="G28">
        <f>F28/E27</f>
        <v/>
      </c>
      <c r="H28" t="n">
        <v>3150245.49</v>
      </c>
      <c r="I28">
        <f>F28/H28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2026-08-07T04:09:33Z</dcterms:modified>
</cp:coreProperties>
</file>